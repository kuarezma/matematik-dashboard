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k Giriş ve Notlar" sheetId="1" state="visible" r:id="rId1"/>
    <sheet xmlns:r="http://schemas.openxmlformats.org/officeDocument/2006/relationships" name="Kazanım Analizi" sheetId="2" state="visible" r:id="rId2"/>
    <sheet xmlns:r="http://schemas.openxmlformats.org/officeDocument/2006/relationships" name="Zümre Teşhis Rapo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9.5"/>
    </font>
    <font>
      <name val="Arial"/>
      <b val="1"/>
      <color rgb="00FFFFFF"/>
      <sz val="10.5"/>
    </font>
    <font>
      <name val="Arial"/>
      <b val="1"/>
      <color rgb="001F4E79"/>
      <sz val="8.5"/>
    </font>
    <font>
      <name val="Arial"/>
      <b val="1"/>
      <color rgb="001A202C"/>
      <sz val="8.5"/>
    </font>
    <font>
      <name val="Arial"/>
      <b val="1"/>
      <color rgb="001F4E79"/>
      <sz val="14"/>
    </font>
    <font>
      <name val="Arial"/>
      <b val="1"/>
      <color rgb="004A5568"/>
      <sz val="7.5"/>
    </font>
    <font>
      <name val="Arial"/>
      <b val="1"/>
      <color rgb="00276749"/>
      <sz val="14"/>
    </font>
    <font>
      <name val="Arial"/>
      <b val="1"/>
      <color rgb="00B7791F"/>
      <sz val="14"/>
    </font>
    <font>
      <name val="Arial"/>
      <b val="1"/>
      <color rgb="00C53030"/>
      <sz val="14"/>
    </font>
    <font>
      <name val="Arial"/>
      <b val="1"/>
      <color rgb="00FFFFFF"/>
      <sz val="8.5"/>
    </font>
    <font>
      <name val="Arial"/>
      <b val="1"/>
      <color rgb="00FFFFFF"/>
      <sz val="9.5"/>
    </font>
    <font>
      <name val="Arial"/>
      <i val="1"/>
      <color rgb="004A5568"/>
      <sz val="7.5"/>
    </font>
    <font>
      <name val="Arial"/>
      <b val="1"/>
      <color rgb="00FFFFFF"/>
      <sz val="8"/>
    </font>
    <font>
      <name val="Arial"/>
      <color rgb="001A202C"/>
      <sz val="8.5"/>
    </font>
    <font>
      <name val="Arial"/>
      <b val="1"/>
      <color rgb="00C53030"/>
      <sz val="8.5"/>
    </font>
    <font>
      <name val="Arial"/>
      <b val="1"/>
      <color rgb="00276749"/>
      <sz val="8.5"/>
    </font>
    <font>
      <name val="Arial"/>
      <color rgb="004A5568"/>
      <sz val="8.5"/>
    </font>
    <font>
      <name val="Arial"/>
      <b val="1"/>
      <color rgb="001F4E79"/>
      <sz val="9"/>
    </font>
    <font>
      <name val="Arial"/>
      <b val="1"/>
      <color rgb="001A202C"/>
      <sz val="8"/>
    </font>
    <font>
      <name val="Arial"/>
      <b val="1"/>
      <color rgb="001F4E79"/>
      <sz val="8"/>
    </font>
    <font>
      <name val="Arial"/>
      <b val="1"/>
      <color rgb="004A5568"/>
      <sz val="8.5"/>
    </font>
    <font>
      <name val="Arial"/>
      <b val="1"/>
      <color rgb="001F4E79"/>
      <sz val="9.5"/>
    </font>
    <font>
      <name val="Arial"/>
      <color rgb="001A202C"/>
      <sz val="8"/>
    </font>
    <font>
      <name val="Arial"/>
      <color rgb="004A5568"/>
      <sz val="8"/>
    </font>
    <font>
      <name val="Arial"/>
      <i val="1"/>
      <color rgb="00FFFFFF"/>
      <sz val="9"/>
    </font>
    <font>
      <name val="Arial"/>
      <b val="1"/>
      <color rgb="00276749"/>
      <sz val="9.5"/>
    </font>
    <font>
      <name val="Arial"/>
      <color rgb="004A5568"/>
      <sz val="7.5"/>
    </font>
    <font>
      <name val="Arial"/>
      <b val="1"/>
      <color rgb="00FFFFFF"/>
      <sz val="10"/>
    </font>
    <font>
      <name val="Arial"/>
      <b val="1"/>
      <color rgb="00FFFFFF"/>
      <sz val="9"/>
    </font>
  </fonts>
  <fills count="1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8FF"/>
        <bgColor rgb="00EBF8FF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FFF5F5"/>
        <bgColor rgb="00FFF5F5"/>
      </patternFill>
    </fill>
    <fill>
      <patternFill patternType="solid">
        <fgColor rgb="00276749"/>
        <bgColor rgb="00276749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6F4EA"/>
        <bgColor rgb="00E6F4EA"/>
      </patternFill>
    </fill>
    <fill>
      <patternFill patternType="solid">
        <fgColor rgb="00F8FAFC"/>
        <bgColor rgb="00F8FAFC"/>
      </patternFill>
    </fill>
    <fill>
      <patternFill patternType="solid">
        <fgColor rgb="00C53030"/>
        <bgColor rgb="00C53030"/>
      </patternFill>
    </fill>
    <fill>
      <patternFill patternType="solid">
        <fgColor rgb="002B6CB0"/>
        <bgColor rgb="002B6CB0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medium">
        <color rgb="001F4E79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bottom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8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9" fillId="5" borderId="1" applyAlignment="1" pivotButton="0" quotePrefix="0" xfId="0">
      <alignment horizontal="center" vertical="center"/>
    </xf>
    <xf numFmtId="0" fontId="0" fillId="5" borderId="1" pivotButton="0" quotePrefix="0" xfId="0"/>
    <xf numFmtId="165" fontId="10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6" fillId="3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center" vertical="center"/>
    </xf>
    <xf numFmtId="165" fontId="19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1" fillId="12" borderId="1" applyAlignment="1" pivotButton="0" quotePrefix="0" xfId="0">
      <alignment horizontal="center" vertical="center"/>
    </xf>
    <xf numFmtId="165" fontId="11" fillId="2" borderId="1" applyAlignment="1" pivotButton="0" quotePrefix="0" xfId="0">
      <alignment horizontal="center" vertical="center"/>
    </xf>
    <xf numFmtId="165" fontId="12" fillId="2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164" fontId="21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24" fillId="8" borderId="1" applyAlignment="1" pivotButton="0" quotePrefix="0" xfId="0">
      <alignment horizontal="left" vertical="center" wrapText="1"/>
    </xf>
    <xf numFmtId="0" fontId="27" fillId="10" borderId="1" applyAlignment="1" pivotButton="0" quotePrefix="0" xfId="0">
      <alignment horizontal="center" vertical="center"/>
    </xf>
    <xf numFmtId="164" fontId="19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 wrapText="1"/>
    </xf>
    <xf numFmtId="0" fontId="24" fillId="11" borderId="1" applyAlignment="1" pivotButton="0" quotePrefix="0" xfId="0">
      <alignment horizontal="left" vertical="center" wrapText="1"/>
    </xf>
    <xf numFmtId="164" fontId="19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 wrapText="1"/>
    </xf>
    <xf numFmtId="0" fontId="29" fillId="13" borderId="0" applyAlignment="1" pivotButton="0" quotePrefix="0" xfId="0">
      <alignment horizontal="center" vertical="center"/>
    </xf>
    <xf numFmtId="0" fontId="4" fillId="0" borderId="0" pivotButton="0" quotePrefix="0" xfId="0"/>
    <xf numFmtId="0" fontId="15" fillId="0" borderId="0" pivotButton="0" quotePrefix="0" xfId="0"/>
    <xf numFmtId="0" fontId="30" fillId="7" borderId="0" applyAlignment="1" pivotButton="0" quotePrefix="0" xfId="0">
      <alignment horizontal="left" vertical="center"/>
    </xf>
    <xf numFmtId="0" fontId="17" fillId="0" borderId="0" pivotButton="0" quotePrefix="0" xfId="0"/>
    <xf numFmtId="0" fontId="30" fillId="12" borderId="0" applyAlignment="1" pivotButton="0" quotePrefix="0" xfId="0">
      <alignment horizontal="left" vertical="center"/>
    </xf>
    <xf numFmtId="0" fontId="16" fillId="0" borderId="0" pivotButton="0" quotePrefix="0" xfId="0"/>
    <xf numFmtId="0" fontId="3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7. Sınıf 1. Hafta Soru Bazlı Başarı Yüzdeleri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'Kazanım Analizi'!F4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'Kazanım Analizi'!$A$5:$A$16</f>
            </numRef>
          </cat>
          <val>
            <numRef>
              <f>'Kazanım Analizi'!$F$5:$F$16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Soru Numarası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Başarı Yüzdesi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7" customWidth="1" min="16" max="16"/>
    <col width="7" customWidth="1" min="17" max="17"/>
    <col width="6" customWidth="1" min="18" max="18"/>
    <col width="9" customWidth="1" min="19" max="19"/>
    <col width="18" customWidth="1" min="20" max="20"/>
  </cols>
  <sheetData>
    <row r="1" ht="24" customHeight="1">
      <c r="A1" s="1" t="inlineStr">
        <is>
          <t>T.C. MİLLÎ EĞİTİM BAKANLIĞI • ALPARSLAN ORTAOKULU</t>
        </is>
      </c>
    </row>
    <row r="2" ht="18" customHeight="1">
      <c r="A2" s="2" t="inlineStr">
        <is>
          <t>2026 - 2027 EĞİTİM ÖĞRETİM YILI • TÜRKİYE YÜZYILI MAARİF MODELİ 5. SINIF MATEMATİK DERSİ</t>
        </is>
      </c>
    </row>
    <row r="3" ht="22" customHeight="1">
      <c r="A3" s="3" t="inlineStr">
        <is>
          <t>1. HAFTA ÇALIŞMA KAĞIDI: OPTİK CEVAP KODLAMA, NOT VE KAZANIM ANALİZ ÇİZELGESİ</t>
        </is>
      </c>
    </row>
    <row r="4" ht="22" customHeight="1">
      <c r="A4" s="4" t="inlineStr">
        <is>
          <t>Sınıf / Şube:</t>
        </is>
      </c>
      <c r="B4" s="5" t="inlineStr">
        <is>
          <t>5 / A</t>
        </is>
      </c>
      <c r="E4" s="4" t="inlineStr">
        <is>
          <t>Ders Öğretmeni:</t>
        </is>
      </c>
      <c r="F4" s="5" t="inlineStr">
        <is>
          <t>Uğur YAŞAYAN</t>
        </is>
      </c>
      <c r="K4" s="4" t="inlineStr">
        <is>
          <t>Uygulama Tarihi:</t>
        </is>
      </c>
      <c r="L4" s="5" t="inlineStr">
        <is>
          <t>Eylül 2026</t>
        </is>
      </c>
      <c r="P4" s="4" t="inlineStr">
        <is>
          <t>Okul Müdürü:</t>
        </is>
      </c>
      <c r="Q4" s="5" t="inlineStr">
        <is>
          <t>Mustafa ÖZKAN</t>
        </is>
      </c>
    </row>
    <row r="5" ht="14" customHeight="1">
      <c r="B5" s="6" t="inlineStr">
        <is>
          <t>TOPLAM ÖĞRENCİ</t>
        </is>
      </c>
      <c r="E5" s="6" t="inlineStr">
        <is>
          <t>SINIF NOT ORTALAMASI</t>
        </is>
      </c>
      <c r="I5" s="6" t="inlineStr">
        <is>
          <t>EN YÜKSEK NOT</t>
        </is>
      </c>
      <c r="M5" s="6" t="inlineStr">
        <is>
          <t>EN DÜŞÜK NOT</t>
        </is>
      </c>
      <c r="Q5" s="6" t="inlineStr">
        <is>
          <t>BAŞARI YÜZDESİ (&gt;=50 Puan)</t>
        </is>
      </c>
    </row>
    <row r="6" ht="18" customHeight="1">
      <c r="B6" s="7">
        <f>COUNTA(C12:C41)</f>
        <v/>
      </c>
      <c r="C6" s="8" t="n"/>
      <c r="E6" s="9">
        <f>AVERAGE(S12:S41)</f>
        <v/>
      </c>
      <c r="F6" s="10" t="n"/>
      <c r="G6" s="10" t="n"/>
      <c r="I6" s="11">
        <f>MAX(S12:S41)</f>
        <v/>
      </c>
      <c r="J6" s="12" t="n"/>
      <c r="K6" s="12" t="n"/>
      <c r="M6" s="13">
        <f>MIN(S12:S41)</f>
        <v/>
      </c>
      <c r="N6" s="14" t="n"/>
      <c r="O6" s="14" t="n"/>
      <c r="Q6" s="15">
        <f>COUNTIF(S12:S41, "&gt;=50")/COUNTA(C12:C41)</f>
        <v/>
      </c>
      <c r="R6" s="8" t="n"/>
      <c r="S6" s="8" t="n"/>
      <c r="T6" s="8" t="n"/>
    </row>
    <row r="7" ht="18" customHeight="1">
      <c r="B7" s="8" t="n"/>
      <c r="C7" s="8" t="n"/>
      <c r="E7" s="10" t="n"/>
      <c r="F7" s="10" t="n"/>
      <c r="G7" s="10" t="n"/>
      <c r="I7" s="12" t="n"/>
      <c r="J7" s="12" t="n"/>
      <c r="K7" s="12" t="n"/>
      <c r="M7" s="14" t="n"/>
      <c r="N7" s="14" t="n"/>
      <c r="O7" s="14" t="n"/>
      <c r="Q7" s="8" t="n"/>
      <c r="R7" s="8" t="n"/>
      <c r="S7" s="8" t="n"/>
      <c r="T7" s="8" t="n"/>
    </row>
    <row r="10" ht="20" customHeight="1">
      <c r="A10" s="16" t="inlineStr">
        <is>
          <t>🎯 RESMÎ CEVAP ANAHTARI:</t>
        </is>
      </c>
      <c r="D10" s="17" t="inlineStr">
        <is>
          <t>A</t>
        </is>
      </c>
      <c r="E10" s="17" t="inlineStr">
        <is>
          <t>C</t>
        </is>
      </c>
      <c r="F10" s="17" t="inlineStr">
        <is>
          <t>A</t>
        </is>
      </c>
      <c r="G10" s="17" t="inlineStr">
        <is>
          <t>C</t>
        </is>
      </c>
      <c r="H10" s="17" t="inlineStr">
        <is>
          <t>C</t>
        </is>
      </c>
      <c r="I10" s="17" t="inlineStr">
        <is>
          <t>C</t>
        </is>
      </c>
      <c r="J10" s="17" t="inlineStr">
        <is>
          <t>C</t>
        </is>
      </c>
      <c r="K10" s="17" t="inlineStr">
        <is>
          <t>C</t>
        </is>
      </c>
      <c r="L10" s="17" t="inlineStr">
        <is>
          <t>A</t>
        </is>
      </c>
      <c r="M10" s="17" t="inlineStr">
        <is>
          <t>A</t>
        </is>
      </c>
      <c r="N10" s="17" t="inlineStr">
        <is>
          <t>C</t>
        </is>
      </c>
      <c r="O10" s="17" t="inlineStr">
        <is>
          <t>D</t>
        </is>
      </c>
      <c r="P10" s="18" t="inlineStr">
        <is>
          <t>12 Soru • Her Soru ~8.33 Puan • Boşlar Yanlış Sayılmaz</t>
        </is>
      </c>
    </row>
    <row r="11" ht="26" customHeight="1">
      <c r="A11" s="19" t="inlineStr">
        <is>
          <t>No</t>
        </is>
      </c>
      <c r="B11" s="19" t="inlineStr">
        <is>
          <t>Okul No</t>
        </is>
      </c>
      <c r="C11" s="19" t="inlineStr">
        <is>
          <t>Öğrencinin Adı Soyadı</t>
        </is>
      </c>
      <c r="D11" s="19" t="inlineStr">
        <is>
          <t>S1
(C)</t>
        </is>
      </c>
      <c r="E11" s="19" t="inlineStr">
        <is>
          <t>S2
(D)</t>
        </is>
      </c>
      <c r="F11" s="19" t="inlineStr">
        <is>
          <t>S3
(A)</t>
        </is>
      </c>
      <c r="G11" s="19" t="inlineStr">
        <is>
          <t>S4
(B)</t>
        </is>
      </c>
      <c r="H11" s="19" t="inlineStr">
        <is>
          <t>S5
(D)</t>
        </is>
      </c>
      <c r="I11" s="19" t="inlineStr">
        <is>
          <t>S6
(B)</t>
        </is>
      </c>
      <c r="J11" s="19" t="inlineStr">
        <is>
          <t>S7
(C)</t>
        </is>
      </c>
      <c r="K11" s="19" t="inlineStr">
        <is>
          <t>S8
(A)</t>
        </is>
      </c>
      <c r="L11" s="19" t="inlineStr">
        <is>
          <t>S9
(D)</t>
        </is>
      </c>
      <c r="M11" s="19" t="inlineStr">
        <is>
          <t>S10
(C)</t>
        </is>
      </c>
      <c r="N11" s="19" t="inlineStr">
        <is>
          <t>S11
(B)</t>
        </is>
      </c>
      <c r="O11" s="19" t="inlineStr">
        <is>
          <t>S12
(A)</t>
        </is>
      </c>
      <c r="P11" s="19" t="inlineStr">
        <is>
          <t>Doğru
(D)</t>
        </is>
      </c>
      <c r="Q11" s="19" t="inlineStr">
        <is>
          <t>Yanlış
(Y)</t>
        </is>
      </c>
      <c r="R11" s="19" t="inlineStr">
        <is>
          <t>Boş
(B)</t>
        </is>
      </c>
      <c r="S11" s="19" t="inlineStr">
        <is>
          <t>Puan
(100)</t>
        </is>
      </c>
      <c r="T11" s="19" t="inlineStr">
        <is>
          <t>Başarı Düzeyi
(Maarif Modeli)</t>
        </is>
      </c>
    </row>
    <row r="12" ht="20" customHeight="1">
      <c r="A12" s="20" t="n">
        <v>1</v>
      </c>
      <c r="B12" s="21" t="n">
        <v>102</v>
      </c>
      <c r="C12" s="22" t="inlineStr">
        <is>
          <t>Ali YILDIRIM</t>
        </is>
      </c>
      <c r="D12" s="23" t="inlineStr">
        <is>
          <t>B</t>
        </is>
      </c>
      <c r="E12" s="24" t="inlineStr">
        <is>
          <t>C</t>
        </is>
      </c>
      <c r="F12" s="24" t="inlineStr">
        <is>
          <t>A</t>
        </is>
      </c>
      <c r="G12" s="24" t="inlineStr">
        <is>
          <t>C</t>
        </is>
      </c>
      <c r="H12" s="24" t="inlineStr">
        <is>
          <t>C</t>
        </is>
      </c>
      <c r="I12" s="24" t="inlineStr">
        <is>
          <t>C</t>
        </is>
      </c>
      <c r="J12" s="24" t="inlineStr">
        <is>
          <t>C</t>
        </is>
      </c>
      <c r="K12" s="23" t="inlineStr">
        <is>
          <t>D</t>
        </is>
      </c>
      <c r="L12" s="24" t="inlineStr">
        <is>
          <t>A</t>
        </is>
      </c>
      <c r="M12" s="24" t="inlineStr">
        <is>
          <t>A</t>
        </is>
      </c>
      <c r="N12" s="24" t="inlineStr">
        <is>
          <t>C</t>
        </is>
      </c>
      <c r="O12" s="24" t="inlineStr">
        <is>
          <t>D</t>
        </is>
      </c>
      <c r="P12" s="24">
        <f>(D12=$D$10)+(E12=$E$10)+(F12=$F$10)+(G12=$G$10)+(H12=$H$10)+(I12=$I$10)+(J12=$J$10)+(K12=$K$10)+(L12=$L$10)+(M12=$M$10)+(N12=$N$10)+(O12=$O$10)</f>
        <v/>
      </c>
      <c r="Q12" s="23">
        <f>12-P12-R12</f>
        <v/>
      </c>
      <c r="R12" s="25">
        <f>COUNTBLANK(D12:O12)</f>
        <v/>
      </c>
      <c r="S12" s="26">
        <f>ROUND(P12*(100/12), 1)</f>
        <v/>
      </c>
      <c r="T12" s="27">
        <f>IF(S12&gt;=85, "Pekiyi (5)", IF(S12&gt;=70, "İyi (4)", IF(S12&gt;=55, "Orta (3)", IF(S12&gt;=45, "Geçer (2)", "Geliştirilmeli (1)"))))</f>
        <v/>
      </c>
    </row>
    <row r="13" ht="20" customHeight="1">
      <c r="A13" s="28" t="n">
        <v>2</v>
      </c>
      <c r="B13" s="29" t="n">
        <v>105</v>
      </c>
      <c r="C13" s="30" t="inlineStr">
        <is>
          <t>Ayşe KAYA</t>
        </is>
      </c>
      <c r="D13" s="24" t="inlineStr">
        <is>
          <t>A</t>
        </is>
      </c>
      <c r="E13" s="24" t="inlineStr">
        <is>
          <t>C</t>
        </is>
      </c>
      <c r="F13" s="24" t="inlineStr">
        <is>
          <t>A</t>
        </is>
      </c>
      <c r="G13" s="24" t="inlineStr">
        <is>
          <t>C</t>
        </is>
      </c>
      <c r="H13" s="24" t="inlineStr">
        <is>
          <t>C</t>
        </is>
      </c>
      <c r="I13" s="24" t="inlineStr">
        <is>
          <t>C</t>
        </is>
      </c>
      <c r="J13" s="23" t="inlineStr">
        <is>
          <t>D</t>
        </is>
      </c>
      <c r="K13" s="24" t="inlineStr">
        <is>
          <t>C</t>
        </is>
      </c>
      <c r="L13" s="24" t="inlineStr">
        <is>
          <t>A</t>
        </is>
      </c>
      <c r="M13" s="24" t="inlineStr">
        <is>
          <t>A</t>
        </is>
      </c>
      <c r="N13" s="23" t="inlineStr">
        <is>
          <t>A</t>
        </is>
      </c>
      <c r="O13" s="24" t="inlineStr">
        <is>
          <t>D</t>
        </is>
      </c>
      <c r="P13" s="24">
        <f>(D13=$D$10)+(E13=$E$10)+(F13=$F$10)+(G13=$G$10)+(H13=$H$10)+(I13=$I$10)+(J13=$J$10)+(K13=$K$10)+(L13=$L$10)+(M13=$M$10)+(N13=$N$10)+(O13=$O$10)</f>
        <v/>
      </c>
      <c r="Q13" s="23">
        <f>12-P13-R13</f>
        <v/>
      </c>
      <c r="R13" s="31">
        <f>COUNTBLANK(D13:O13)</f>
        <v/>
      </c>
      <c r="S13" s="32">
        <f>ROUND(P13*(100/12), 1)</f>
        <v/>
      </c>
      <c r="T13" s="33">
        <f>IF(S13&gt;=85, "Pekiyi (5)", IF(S13&gt;=70, "İyi (4)", IF(S13&gt;=55, "Orta (3)", IF(S13&gt;=45, "Geçer (2)", "Geliştirilmeli (1)"))))</f>
        <v/>
      </c>
    </row>
    <row r="14" ht="20" customHeight="1">
      <c r="A14" s="20" t="n">
        <v>3</v>
      </c>
      <c r="B14" s="21" t="n">
        <v>112</v>
      </c>
      <c r="C14" s="22" t="inlineStr">
        <is>
          <t>Burak DEMİR</t>
        </is>
      </c>
      <c r="D14" s="24" t="inlineStr">
        <is>
          <t>A</t>
        </is>
      </c>
      <c r="E14" s="24" t="inlineStr">
        <is>
          <t>C</t>
        </is>
      </c>
      <c r="F14" s="24" t="inlineStr">
        <is>
          <t>A</t>
        </is>
      </c>
      <c r="G14" s="24" t="inlineStr">
        <is>
          <t>C</t>
        </is>
      </c>
      <c r="H14" s="24" t="inlineStr">
        <is>
          <t>C</t>
        </is>
      </c>
      <c r="I14" s="23" t="inlineStr">
        <is>
          <t>D</t>
        </is>
      </c>
      <c r="J14" s="24" t="inlineStr">
        <is>
          <t>C</t>
        </is>
      </c>
      <c r="K14" s="23" t="inlineStr">
        <is>
          <t>A</t>
        </is>
      </c>
      <c r="L14" s="24" t="inlineStr">
        <is>
          <t>A</t>
        </is>
      </c>
      <c r="M14" s="24" t="inlineStr">
        <is>
          <t>A</t>
        </is>
      </c>
      <c r="N14" s="24" t="inlineStr">
        <is>
          <t>C</t>
        </is>
      </c>
      <c r="O14" s="24" t="inlineStr">
        <is>
          <t>D</t>
        </is>
      </c>
      <c r="P14" s="24">
        <f>(D14=$D$10)+(E14=$E$10)+(F14=$F$10)+(G14=$G$10)+(H14=$H$10)+(I14=$I$10)+(J14=$J$10)+(K14=$K$10)+(L14=$L$10)+(M14=$M$10)+(N14=$N$10)+(O14=$O$10)</f>
        <v/>
      </c>
      <c r="Q14" s="23">
        <f>12-P14-R14</f>
        <v/>
      </c>
      <c r="R14" s="25">
        <f>COUNTBLANK(D14:O14)</f>
        <v/>
      </c>
      <c r="S14" s="26">
        <f>ROUND(P14*(100/12), 1)</f>
        <v/>
      </c>
      <c r="T14" s="27">
        <f>IF(S14&gt;=85, "Pekiyi (5)", IF(S14&gt;=70, "İyi (4)", IF(S14&gt;=55, "Orta (3)", IF(S14&gt;=45, "Geçer (2)", "Geliştirilmeli (1)"))))</f>
        <v/>
      </c>
    </row>
    <row r="15" ht="20" customHeight="1">
      <c r="A15" s="28" t="n">
        <v>4</v>
      </c>
      <c r="B15" s="29" t="n">
        <v>118</v>
      </c>
      <c r="C15" s="30" t="inlineStr">
        <is>
          <t>Ceren ÇELİK</t>
        </is>
      </c>
      <c r="D15" s="24" t="inlineStr">
        <is>
          <t>A</t>
        </is>
      </c>
      <c r="E15" s="24" t="inlineStr">
        <is>
          <t>C</t>
        </is>
      </c>
      <c r="F15" s="24" t="inlineStr">
        <is>
          <t>A</t>
        </is>
      </c>
      <c r="G15" s="24" t="inlineStr">
        <is>
          <t>C</t>
        </is>
      </c>
      <c r="H15" s="23" t="inlineStr">
        <is>
          <t>D</t>
        </is>
      </c>
      <c r="I15" s="24" t="inlineStr">
        <is>
          <t>C</t>
        </is>
      </c>
      <c r="J15" s="24" t="inlineStr">
        <is>
          <t>C</t>
        </is>
      </c>
      <c r="K15" s="24" t="inlineStr">
        <is>
          <t>C</t>
        </is>
      </c>
      <c r="L15" s="24" t="inlineStr">
        <is>
          <t>A</t>
        </is>
      </c>
      <c r="M15" s="24" t="inlineStr">
        <is>
          <t>A</t>
        </is>
      </c>
      <c r="N15" s="24" t="inlineStr">
        <is>
          <t>C</t>
        </is>
      </c>
      <c r="O15" s="23" t="inlineStr">
        <is>
          <t>A</t>
        </is>
      </c>
      <c r="P15" s="24">
        <f>(D15=$D$10)+(E15=$E$10)+(F15=$F$10)+(G15=$G$10)+(H15=$H$10)+(I15=$I$10)+(J15=$J$10)+(K15=$K$10)+(L15=$L$10)+(M15=$M$10)+(N15=$N$10)+(O15=$O$10)</f>
        <v/>
      </c>
      <c r="Q15" s="23">
        <f>12-P15-R15</f>
        <v/>
      </c>
      <c r="R15" s="31">
        <f>COUNTBLANK(D15:O15)</f>
        <v/>
      </c>
      <c r="S15" s="32">
        <f>ROUND(P15*(100/12), 1)</f>
        <v/>
      </c>
      <c r="T15" s="33">
        <f>IF(S15&gt;=85, "Pekiyi (5)", IF(S15&gt;=70, "İyi (4)", IF(S15&gt;=55, "Orta (3)", IF(S15&gt;=45, "Geçer (2)", "Geliştirilmeli (1)"))))</f>
        <v/>
      </c>
    </row>
    <row r="16" ht="20" customHeight="1">
      <c r="A16" s="20" t="n">
        <v>5</v>
      </c>
      <c r="B16" s="21" t="n">
        <v>124</v>
      </c>
      <c r="C16" s="22" t="inlineStr">
        <is>
          <t>Deniz ARSLAN</t>
        </is>
      </c>
      <c r="D16" s="24" t="inlineStr">
        <is>
          <t>A</t>
        </is>
      </c>
      <c r="E16" s="23" t="inlineStr">
        <is>
          <t>A</t>
        </is>
      </c>
      <c r="F16" s="24" t="inlineStr">
        <is>
          <t>A</t>
        </is>
      </c>
      <c r="G16" s="23" t="inlineStr">
        <is>
          <t>D</t>
        </is>
      </c>
      <c r="H16" s="24" t="inlineStr">
        <is>
          <t>C</t>
        </is>
      </c>
      <c r="I16" s="24" t="inlineStr">
        <is>
          <t>C</t>
        </is>
      </c>
      <c r="J16" s="24" t="inlineStr">
        <is>
          <t>C</t>
        </is>
      </c>
      <c r="K16" s="24" t="inlineStr">
        <is>
          <t>C</t>
        </is>
      </c>
      <c r="L16" s="24" t="inlineStr">
        <is>
          <t>A</t>
        </is>
      </c>
      <c r="M16" s="24" t="inlineStr">
        <is>
          <t>A</t>
        </is>
      </c>
      <c r="N16" s="23" t="inlineStr">
        <is>
          <t>D</t>
        </is>
      </c>
      <c r="O16" s="24" t="inlineStr">
        <is>
          <t>D</t>
        </is>
      </c>
      <c r="P16" s="24">
        <f>(D16=$D$10)+(E16=$E$10)+(F16=$F$10)+(G16=$G$10)+(H16=$H$10)+(I16=$I$10)+(J16=$J$10)+(K16=$K$10)+(L16=$L$10)+(M16=$M$10)+(N16=$N$10)+(O16=$O$10)</f>
        <v/>
      </c>
      <c r="Q16" s="23">
        <f>12-P16-R16</f>
        <v/>
      </c>
      <c r="R16" s="25">
        <f>COUNTBLANK(D16:O16)</f>
        <v/>
      </c>
      <c r="S16" s="26">
        <f>ROUND(P16*(100/12), 1)</f>
        <v/>
      </c>
      <c r="T16" s="27">
        <f>IF(S16&gt;=85, "Pekiyi (5)", IF(S16&gt;=70, "İyi (4)", IF(S16&gt;=55, "Orta (3)", IF(S16&gt;=45, "Geçer (2)", "Geliştirilmeli (1)"))))</f>
        <v/>
      </c>
    </row>
    <row r="17" ht="20" customHeight="1">
      <c r="A17" s="28" t="n">
        <v>6</v>
      </c>
      <c r="B17" s="29" t="n">
        <v>130</v>
      </c>
      <c r="C17" s="30" t="inlineStr">
        <is>
          <t>Efe POLAT</t>
        </is>
      </c>
      <c r="D17" s="24" t="inlineStr">
        <is>
          <t>A</t>
        </is>
      </c>
      <c r="E17" s="24" t="inlineStr">
        <is>
          <t>C</t>
        </is>
      </c>
      <c r="F17" s="23" t="inlineStr">
        <is>
          <t>B</t>
        </is>
      </c>
      <c r="G17" s="24" t="inlineStr">
        <is>
          <t>C</t>
        </is>
      </c>
      <c r="H17" s="24" t="inlineStr">
        <is>
          <t>C</t>
        </is>
      </c>
      <c r="I17" s="24" t="inlineStr">
        <is>
          <t>C</t>
        </is>
      </c>
      <c r="J17" s="24" t="inlineStr">
        <is>
          <t>C</t>
        </is>
      </c>
      <c r="K17" s="24" t="inlineStr">
        <is>
          <t>C</t>
        </is>
      </c>
      <c r="L17" s="24" t="inlineStr">
        <is>
          <t>A</t>
        </is>
      </c>
      <c r="M17" s="23" t="inlineStr">
        <is>
          <t>B</t>
        </is>
      </c>
      <c r="N17" s="24" t="inlineStr">
        <is>
          <t>C</t>
        </is>
      </c>
      <c r="O17" s="23" t="inlineStr">
        <is>
          <t>B</t>
        </is>
      </c>
      <c r="P17" s="24">
        <f>(D17=$D$10)+(E17=$E$10)+(F17=$F$10)+(G17=$G$10)+(H17=$H$10)+(I17=$I$10)+(J17=$J$10)+(K17=$K$10)+(L17=$L$10)+(M17=$M$10)+(N17=$N$10)+(O17=$O$10)</f>
        <v/>
      </c>
      <c r="Q17" s="23">
        <f>12-P17-R17</f>
        <v/>
      </c>
      <c r="R17" s="31">
        <f>COUNTBLANK(D17:O17)</f>
        <v/>
      </c>
      <c r="S17" s="32">
        <f>ROUND(P17*(100/12), 1)</f>
        <v/>
      </c>
      <c r="T17" s="33">
        <f>IF(S17&gt;=85, "Pekiyi (5)", IF(S17&gt;=70, "İyi (4)", IF(S17&gt;=55, "Orta (3)", IF(S17&gt;=45, "Geçer (2)", "Geliştirilmeli (1)"))))</f>
        <v/>
      </c>
    </row>
    <row r="18" ht="20" customHeight="1">
      <c r="A18" s="20" t="n">
        <v>7</v>
      </c>
      <c r="B18" s="21" t="n">
        <v>135</v>
      </c>
      <c r="C18" s="22" t="inlineStr">
        <is>
          <t>Elif ŞAHİN</t>
        </is>
      </c>
      <c r="D18" s="24" t="inlineStr">
        <is>
          <t>A</t>
        </is>
      </c>
      <c r="E18" s="23" t="inlineStr">
        <is>
          <t>D</t>
        </is>
      </c>
      <c r="F18" s="24" t="inlineStr">
        <is>
          <t>A</t>
        </is>
      </c>
      <c r="G18" s="24" t="inlineStr">
        <is>
          <t>C</t>
        </is>
      </c>
      <c r="H18" s="24" t="inlineStr">
        <is>
          <t>C</t>
        </is>
      </c>
      <c r="I18" s="24" t="inlineStr">
        <is>
          <t>C</t>
        </is>
      </c>
      <c r="J18" s="24" t="inlineStr">
        <is>
          <t>C</t>
        </is>
      </c>
      <c r="K18" s="24" t="inlineStr">
        <is>
          <t>C</t>
        </is>
      </c>
      <c r="L18" s="23" t="inlineStr">
        <is>
          <t>B</t>
        </is>
      </c>
      <c r="M18" s="24" t="inlineStr">
        <is>
          <t>A</t>
        </is>
      </c>
      <c r="N18" s="24" t="inlineStr">
        <is>
          <t>C</t>
        </is>
      </c>
      <c r="O18" s="24" t="inlineStr">
        <is>
          <t>D</t>
        </is>
      </c>
      <c r="P18" s="24">
        <f>(D18=$D$10)+(E18=$E$10)+(F18=$F$10)+(G18=$G$10)+(H18=$H$10)+(I18=$I$10)+(J18=$J$10)+(K18=$K$10)+(L18=$L$10)+(M18=$M$10)+(N18=$N$10)+(O18=$O$10)</f>
        <v/>
      </c>
      <c r="Q18" s="23">
        <f>12-P18-R18</f>
        <v/>
      </c>
      <c r="R18" s="25">
        <f>COUNTBLANK(D18:O18)</f>
        <v/>
      </c>
      <c r="S18" s="26">
        <f>ROUND(P18*(100/12), 1)</f>
        <v/>
      </c>
      <c r="T18" s="27">
        <f>IF(S18&gt;=85, "Pekiyi (5)", IF(S18&gt;=70, "İyi (4)", IF(S18&gt;=55, "Orta (3)", IF(S18&gt;=45, "Geçer (2)", "Geliştirilmeli (1)"))))</f>
        <v/>
      </c>
    </row>
    <row r="19" ht="20" customHeight="1">
      <c r="A19" s="28" t="n">
        <v>8</v>
      </c>
      <c r="B19" s="29" t="n">
        <v>142</v>
      </c>
      <c r="C19" s="30" t="inlineStr">
        <is>
          <t>Emir ÖZTÜRK</t>
        </is>
      </c>
      <c r="D19" s="23" t="inlineStr">
        <is>
          <t>B</t>
        </is>
      </c>
      <c r="E19" s="24" t="inlineStr">
        <is>
          <t>C</t>
        </is>
      </c>
      <c r="F19" s="24" t="inlineStr">
        <is>
          <t>A</t>
        </is>
      </c>
      <c r="G19" s="24" t="inlineStr">
        <is>
          <t>C</t>
        </is>
      </c>
      <c r="H19" s="24" t="inlineStr">
        <is>
          <t>C</t>
        </is>
      </c>
      <c r="I19" s="23" t="inlineStr">
        <is>
          <t>A</t>
        </is>
      </c>
      <c r="J19" s="24" t="inlineStr">
        <is>
          <t>C</t>
        </is>
      </c>
      <c r="K19" s="23" t="inlineStr">
        <is>
          <t>D</t>
        </is>
      </c>
      <c r="L19" s="24" t="inlineStr">
        <is>
          <t>A</t>
        </is>
      </c>
      <c r="M19" s="24" t="inlineStr">
        <is>
          <t>A</t>
        </is>
      </c>
      <c r="N19" s="24" t="inlineStr">
        <is>
          <t>C</t>
        </is>
      </c>
      <c r="O19" s="24" t="inlineStr">
        <is>
          <t>D</t>
        </is>
      </c>
      <c r="P19" s="24">
        <f>(D19=$D$10)+(E19=$E$10)+(F19=$F$10)+(G19=$G$10)+(H19=$H$10)+(I19=$I$10)+(J19=$J$10)+(K19=$K$10)+(L19=$L$10)+(M19=$M$10)+(N19=$N$10)+(O19=$O$10)</f>
        <v/>
      </c>
      <c r="Q19" s="23">
        <f>12-P19-R19</f>
        <v/>
      </c>
      <c r="R19" s="31">
        <f>COUNTBLANK(D19:O19)</f>
        <v/>
      </c>
      <c r="S19" s="32">
        <f>ROUND(P19*(100/12), 1)</f>
        <v/>
      </c>
      <c r="T19" s="33">
        <f>IF(S19&gt;=85, "Pekiyi (5)", IF(S19&gt;=70, "İyi (4)", IF(S19&gt;=55, "Orta (3)", IF(S19&gt;=45, "Geçer (2)", "Geliştirilmeli (1)"))))</f>
        <v/>
      </c>
    </row>
    <row r="20" ht="20" customHeight="1">
      <c r="A20" s="20" t="n">
        <v>9</v>
      </c>
      <c r="B20" s="21" t="n">
        <v>148</v>
      </c>
      <c r="C20" s="22" t="inlineStr">
        <is>
          <t>Fatma KOÇ</t>
        </is>
      </c>
      <c r="D20" s="24" t="inlineStr">
        <is>
          <t>A</t>
        </is>
      </c>
      <c r="E20" s="24" t="inlineStr">
        <is>
          <t>C</t>
        </is>
      </c>
      <c r="F20" s="23" t="inlineStr">
        <is>
          <t>C</t>
        </is>
      </c>
      <c r="G20" s="24" t="inlineStr">
        <is>
          <t>C</t>
        </is>
      </c>
      <c r="H20" s="24" t="inlineStr">
        <is>
          <t>C</t>
        </is>
      </c>
      <c r="I20" s="24" t="inlineStr">
        <is>
          <t>C</t>
        </is>
      </c>
      <c r="J20" s="23" t="inlineStr">
        <is>
          <t>D</t>
        </is>
      </c>
      <c r="K20" s="24" t="inlineStr">
        <is>
          <t>C</t>
        </is>
      </c>
      <c r="L20" s="24" t="inlineStr">
        <is>
          <t>A</t>
        </is>
      </c>
      <c r="M20" s="24" t="inlineStr">
        <is>
          <t>A</t>
        </is>
      </c>
      <c r="N20" s="24" t="inlineStr">
        <is>
          <t>C</t>
        </is>
      </c>
      <c r="O20" s="24" t="inlineStr">
        <is>
          <t>D</t>
        </is>
      </c>
      <c r="P20" s="24">
        <f>(D20=$D$10)+(E20=$E$10)+(F20=$F$10)+(G20=$G$10)+(H20=$H$10)+(I20=$I$10)+(J20=$J$10)+(K20=$K$10)+(L20=$L$10)+(M20=$M$10)+(N20=$N$10)+(O20=$O$10)</f>
        <v/>
      </c>
      <c r="Q20" s="23">
        <f>12-P20-R20</f>
        <v/>
      </c>
      <c r="R20" s="25">
        <f>COUNTBLANK(D20:O20)</f>
        <v/>
      </c>
      <c r="S20" s="26">
        <f>ROUND(P20*(100/12), 1)</f>
        <v/>
      </c>
      <c r="T20" s="27">
        <f>IF(S20&gt;=85, "Pekiyi (5)", IF(S20&gt;=70, "İyi (4)", IF(S20&gt;=55, "Orta (3)", IF(S20&gt;=45, "Geçer (2)", "Geliştirilmeli (1)"))))</f>
        <v/>
      </c>
    </row>
    <row r="21" ht="20" customHeight="1">
      <c r="A21" s="28" t="n">
        <v>10</v>
      </c>
      <c r="B21" s="29" t="n">
        <v>155</v>
      </c>
      <c r="C21" s="30" t="inlineStr">
        <is>
          <t>Gökhan KURT</t>
        </is>
      </c>
      <c r="D21" s="24" t="inlineStr">
        <is>
          <t>A</t>
        </is>
      </c>
      <c r="E21" s="24" t="inlineStr">
        <is>
          <t>C</t>
        </is>
      </c>
      <c r="F21" s="24" t="inlineStr">
        <is>
          <t>A</t>
        </is>
      </c>
      <c r="G21" s="24" t="inlineStr">
        <is>
          <t>C</t>
        </is>
      </c>
      <c r="H21" s="24" t="inlineStr">
        <is>
          <t>C</t>
        </is>
      </c>
      <c r="I21" s="23" t="inlineStr">
        <is>
          <t>D</t>
        </is>
      </c>
      <c r="J21" s="24" t="inlineStr">
        <is>
          <t>C</t>
        </is>
      </c>
      <c r="K21" s="24" t="inlineStr">
        <is>
          <t>C</t>
        </is>
      </c>
      <c r="L21" s="24" t="inlineStr">
        <is>
          <t>A</t>
        </is>
      </c>
      <c r="M21" s="24" t="inlineStr">
        <is>
          <t>A</t>
        </is>
      </c>
      <c r="N21" s="24" t="inlineStr">
        <is>
          <t>C</t>
        </is>
      </c>
      <c r="O21" s="24" t="inlineStr">
        <is>
          <t>D</t>
        </is>
      </c>
      <c r="P21" s="24">
        <f>(D21=$D$10)+(E21=$E$10)+(F21=$F$10)+(G21=$G$10)+(H21=$H$10)+(I21=$I$10)+(J21=$J$10)+(K21=$K$10)+(L21=$L$10)+(M21=$M$10)+(N21=$N$10)+(O21=$O$10)</f>
        <v/>
      </c>
      <c r="Q21" s="23">
        <f>12-P21-R21</f>
        <v/>
      </c>
      <c r="R21" s="31">
        <f>COUNTBLANK(D21:O21)</f>
        <v/>
      </c>
      <c r="S21" s="32">
        <f>ROUND(P21*(100/12), 1)</f>
        <v/>
      </c>
      <c r="T21" s="33">
        <f>IF(S21&gt;=85, "Pekiyi (5)", IF(S21&gt;=70, "İyi (4)", IF(S21&gt;=55, "Orta (3)", IF(S21&gt;=45, "Geçer (2)", "Geliştirilmeli (1)"))))</f>
        <v/>
      </c>
    </row>
    <row r="22" ht="20" customHeight="1">
      <c r="A22" s="20" t="n">
        <v>11</v>
      </c>
      <c r="B22" s="21" t="n">
        <v>161</v>
      </c>
      <c r="C22" s="22" t="inlineStr">
        <is>
          <t>Hakan AYDIN</t>
        </is>
      </c>
      <c r="D22" s="24" t="inlineStr">
        <is>
          <t>A</t>
        </is>
      </c>
      <c r="E22" s="24" t="inlineStr">
        <is>
          <t>C</t>
        </is>
      </c>
      <c r="F22" s="24" t="inlineStr">
        <is>
          <t>A</t>
        </is>
      </c>
      <c r="G22" s="24" t="inlineStr">
        <is>
          <t>C</t>
        </is>
      </c>
      <c r="H22" s="23" t="inlineStr">
        <is>
          <t>D</t>
        </is>
      </c>
      <c r="I22" s="24" t="inlineStr">
        <is>
          <t>C</t>
        </is>
      </c>
      <c r="J22" s="24" t="inlineStr">
        <is>
          <t>C</t>
        </is>
      </c>
      <c r="K22" s="24" t="inlineStr">
        <is>
          <t>C</t>
        </is>
      </c>
      <c r="L22" s="24" t="inlineStr">
        <is>
          <t>A</t>
        </is>
      </c>
      <c r="M22" s="23" t="inlineStr">
        <is>
          <t>C</t>
        </is>
      </c>
      <c r="N22" s="24" t="inlineStr">
        <is>
          <t>C</t>
        </is>
      </c>
      <c r="O22" s="23" t="inlineStr">
        <is>
          <t>A</t>
        </is>
      </c>
      <c r="P22" s="24">
        <f>(D22=$D$10)+(E22=$E$10)+(F22=$F$10)+(G22=$G$10)+(H22=$H$10)+(I22=$I$10)+(J22=$J$10)+(K22=$K$10)+(L22=$L$10)+(M22=$M$10)+(N22=$N$10)+(O22=$O$10)</f>
        <v/>
      </c>
      <c r="Q22" s="23">
        <f>12-P22-R22</f>
        <v/>
      </c>
      <c r="R22" s="25">
        <f>COUNTBLANK(D22:O22)</f>
        <v/>
      </c>
      <c r="S22" s="26">
        <f>ROUND(P22*(100/12), 1)</f>
        <v/>
      </c>
      <c r="T22" s="27">
        <f>IF(S22&gt;=85, "Pekiyi (5)", IF(S22&gt;=70, "İyi (4)", IF(S22&gt;=55, "Orta (3)", IF(S22&gt;=45, "Geçer (2)", "Geliştirilmeli (1)"))))</f>
        <v/>
      </c>
    </row>
    <row r="23" ht="20" customHeight="1">
      <c r="A23" s="28" t="n">
        <v>12</v>
      </c>
      <c r="B23" s="29" t="n">
        <v>167</v>
      </c>
      <c r="C23" s="30" t="inlineStr">
        <is>
          <t>İrem YILMAZ</t>
        </is>
      </c>
      <c r="D23" s="24" t="inlineStr">
        <is>
          <t>A</t>
        </is>
      </c>
      <c r="E23" s="24" t="inlineStr">
        <is>
          <t>C</t>
        </is>
      </c>
      <c r="F23" s="24" t="inlineStr">
        <is>
          <t>A</t>
        </is>
      </c>
      <c r="G23" s="23" t="inlineStr">
        <is>
          <t>D</t>
        </is>
      </c>
      <c r="H23" s="24" t="inlineStr">
        <is>
          <t>C</t>
        </is>
      </c>
      <c r="I23" s="24" t="inlineStr">
        <is>
          <t>C</t>
        </is>
      </c>
      <c r="J23" s="23" t="inlineStr">
        <is>
          <t>A</t>
        </is>
      </c>
      <c r="K23" s="24" t="inlineStr">
        <is>
          <t>C</t>
        </is>
      </c>
      <c r="L23" s="24" t="inlineStr">
        <is>
          <t>A</t>
        </is>
      </c>
      <c r="M23" s="24" t="inlineStr">
        <is>
          <t>A</t>
        </is>
      </c>
      <c r="N23" s="23" t="inlineStr">
        <is>
          <t>D</t>
        </is>
      </c>
      <c r="O23" s="24" t="inlineStr">
        <is>
          <t>D</t>
        </is>
      </c>
      <c r="P23" s="24">
        <f>(D23=$D$10)+(E23=$E$10)+(F23=$F$10)+(G23=$G$10)+(H23=$H$10)+(I23=$I$10)+(J23=$J$10)+(K23=$K$10)+(L23=$L$10)+(M23=$M$10)+(N23=$N$10)+(O23=$O$10)</f>
        <v/>
      </c>
      <c r="Q23" s="23">
        <f>12-P23-R23</f>
        <v/>
      </c>
      <c r="R23" s="31">
        <f>COUNTBLANK(D23:O23)</f>
        <v/>
      </c>
      <c r="S23" s="32">
        <f>ROUND(P23*(100/12), 1)</f>
        <v/>
      </c>
      <c r="T23" s="33">
        <f>IF(S23&gt;=85, "Pekiyi (5)", IF(S23&gt;=70, "İyi (4)", IF(S23&gt;=55, "Orta (3)", IF(S23&gt;=45, "Geçer (2)", "Geliştirilmeli (1)"))))</f>
        <v/>
      </c>
    </row>
    <row r="24" ht="20" customHeight="1">
      <c r="A24" s="20" t="n">
        <v>13</v>
      </c>
      <c r="B24" s="21" t="n">
        <v>173</v>
      </c>
      <c r="C24" s="22" t="inlineStr">
        <is>
          <t>Kaan KILIÇ</t>
        </is>
      </c>
      <c r="D24" s="24" t="inlineStr">
        <is>
          <t>A</t>
        </is>
      </c>
      <c r="E24" s="24" t="inlineStr">
        <is>
          <t>C</t>
        </is>
      </c>
      <c r="F24" s="23" t="inlineStr">
        <is>
          <t>B</t>
        </is>
      </c>
      <c r="G24" s="23" t="inlineStr">
        <is>
          <t>A</t>
        </is>
      </c>
      <c r="H24" s="24" t="inlineStr">
        <is>
          <t>C</t>
        </is>
      </c>
      <c r="I24" s="24" t="inlineStr">
        <is>
          <t>C</t>
        </is>
      </c>
      <c r="J24" s="24" t="inlineStr">
        <is>
          <t>C</t>
        </is>
      </c>
      <c r="K24" s="24" t="inlineStr">
        <is>
          <t>C</t>
        </is>
      </c>
      <c r="L24" s="24" t="inlineStr">
        <is>
          <t>A</t>
        </is>
      </c>
      <c r="M24" s="23" t="inlineStr">
        <is>
          <t>B</t>
        </is>
      </c>
      <c r="N24" s="24" t="inlineStr">
        <is>
          <t>C</t>
        </is>
      </c>
      <c r="O24" s="24" t="inlineStr">
        <is>
          <t>D</t>
        </is>
      </c>
      <c r="P24" s="24">
        <f>(D24=$D$10)+(E24=$E$10)+(F24=$F$10)+(G24=$G$10)+(H24=$H$10)+(I24=$I$10)+(J24=$J$10)+(K24=$K$10)+(L24=$L$10)+(M24=$M$10)+(N24=$N$10)+(O24=$O$10)</f>
        <v/>
      </c>
      <c r="Q24" s="23">
        <f>12-P24-R24</f>
        <v/>
      </c>
      <c r="R24" s="25">
        <f>COUNTBLANK(D24:O24)</f>
        <v/>
      </c>
      <c r="S24" s="26">
        <f>ROUND(P24*(100/12), 1)</f>
        <v/>
      </c>
      <c r="T24" s="27">
        <f>IF(S24&gt;=85, "Pekiyi (5)", IF(S24&gt;=70, "İyi (4)", IF(S24&gt;=55, "Orta (3)", IF(S24&gt;=45, "Geçer (2)", "Geliştirilmeli (1)"))))</f>
        <v/>
      </c>
    </row>
    <row r="25" ht="20" customHeight="1">
      <c r="A25" s="28" t="n">
        <v>14</v>
      </c>
      <c r="B25" s="29" t="n">
        <v>179</v>
      </c>
      <c r="C25" s="30" t="inlineStr">
        <is>
          <t>Mehmet ÇETİN</t>
        </is>
      </c>
      <c r="D25" s="23" t="inlineStr">
        <is>
          <t>C</t>
        </is>
      </c>
      <c r="E25" s="23" t="inlineStr">
        <is>
          <t>D</t>
        </is>
      </c>
      <c r="F25" s="24" t="inlineStr">
        <is>
          <t>A</t>
        </is>
      </c>
      <c r="G25" s="24" t="inlineStr">
        <is>
          <t>C</t>
        </is>
      </c>
      <c r="H25" s="24" t="inlineStr">
        <is>
          <t>C</t>
        </is>
      </c>
      <c r="I25" s="24" t="inlineStr">
        <is>
          <t>C</t>
        </is>
      </c>
      <c r="J25" s="24" t="inlineStr">
        <is>
          <t>C</t>
        </is>
      </c>
      <c r="K25" s="24" t="inlineStr">
        <is>
          <t>C</t>
        </is>
      </c>
      <c r="L25" s="23" t="inlineStr">
        <is>
          <t>B</t>
        </is>
      </c>
      <c r="M25" s="24" t="inlineStr">
        <is>
          <t>A</t>
        </is>
      </c>
      <c r="N25" s="24" t="inlineStr">
        <is>
          <t>C</t>
        </is>
      </c>
      <c r="O25" s="24" t="inlineStr">
        <is>
          <t>D</t>
        </is>
      </c>
      <c r="P25" s="24">
        <f>(D25=$D$10)+(E25=$E$10)+(F25=$F$10)+(G25=$G$10)+(H25=$H$10)+(I25=$I$10)+(J25=$J$10)+(K25=$K$10)+(L25=$L$10)+(M25=$M$10)+(N25=$N$10)+(O25=$O$10)</f>
        <v/>
      </c>
      <c r="Q25" s="23">
        <f>12-P25-R25</f>
        <v/>
      </c>
      <c r="R25" s="31">
        <f>COUNTBLANK(D25:O25)</f>
        <v/>
      </c>
      <c r="S25" s="32">
        <f>ROUND(P25*(100/12), 1)</f>
        <v/>
      </c>
      <c r="T25" s="33">
        <f>IF(S25&gt;=85, "Pekiyi (5)", IF(S25&gt;=70, "İyi (4)", IF(S25&gt;=55, "Orta (3)", IF(S25&gt;=45, "Geçer (2)", "Geliştirilmeli (1)"))))</f>
        <v/>
      </c>
    </row>
    <row r="26" ht="20" customHeight="1">
      <c r="A26" s="20" t="n">
        <v>15</v>
      </c>
      <c r="B26" s="21" t="n">
        <v>185</v>
      </c>
      <c r="C26" s="22" t="inlineStr">
        <is>
          <t>Merve AKTAŞ</t>
        </is>
      </c>
      <c r="D26" s="23" t="inlineStr">
        <is>
          <t>B</t>
        </is>
      </c>
      <c r="E26" s="24" t="inlineStr">
        <is>
          <t>C</t>
        </is>
      </c>
      <c r="F26" s="24" t="inlineStr">
        <is>
          <t>A</t>
        </is>
      </c>
      <c r="G26" s="24" t="inlineStr">
        <is>
          <t>C</t>
        </is>
      </c>
      <c r="H26" s="24" t="inlineStr">
        <is>
          <t>C</t>
        </is>
      </c>
      <c r="I26" s="24" t="inlineStr">
        <is>
          <t>C</t>
        </is>
      </c>
      <c r="J26" s="24" t="inlineStr">
        <is>
          <t>C</t>
        </is>
      </c>
      <c r="K26" s="23" t="inlineStr">
        <is>
          <t>D</t>
        </is>
      </c>
      <c r="L26" s="24" t="inlineStr">
        <is>
          <t>A</t>
        </is>
      </c>
      <c r="M26" s="24" t="inlineStr">
        <is>
          <t>A</t>
        </is>
      </c>
      <c r="N26" s="23" t="inlineStr">
        <is>
          <t>A</t>
        </is>
      </c>
      <c r="O26" s="24" t="inlineStr">
        <is>
          <t>D</t>
        </is>
      </c>
      <c r="P26" s="24">
        <f>(D26=$D$10)+(E26=$E$10)+(F26=$F$10)+(G26=$G$10)+(H26=$H$10)+(I26=$I$10)+(J26=$J$10)+(K26=$K$10)+(L26=$L$10)+(M26=$M$10)+(N26=$N$10)+(O26=$O$10)</f>
        <v/>
      </c>
      <c r="Q26" s="23">
        <f>12-P26-R26</f>
        <v/>
      </c>
      <c r="R26" s="25">
        <f>COUNTBLANK(D26:O26)</f>
        <v/>
      </c>
      <c r="S26" s="26">
        <f>ROUND(P26*(100/12), 1)</f>
        <v/>
      </c>
      <c r="T26" s="27">
        <f>IF(S26&gt;=85, "Pekiyi (5)", IF(S26&gt;=70, "İyi (4)", IF(S26&gt;=55, "Orta (3)", IF(S26&gt;=45, "Geçer (2)", "Geliştirilmeli (1)"))))</f>
        <v/>
      </c>
    </row>
    <row r="27" ht="20" customHeight="1">
      <c r="A27" s="28" t="n">
        <v>16</v>
      </c>
      <c r="B27" s="29" t="n">
        <v>191</v>
      </c>
      <c r="C27" s="30" t="inlineStr">
        <is>
          <t>Murat ÖZDEMİR</t>
        </is>
      </c>
      <c r="D27" s="24" t="inlineStr">
        <is>
          <t>A</t>
        </is>
      </c>
      <c r="E27" s="24" t="inlineStr">
        <is>
          <t>C</t>
        </is>
      </c>
      <c r="F27" s="24" t="inlineStr">
        <is>
          <t>A</t>
        </is>
      </c>
      <c r="G27" s="24" t="inlineStr">
        <is>
          <t>C</t>
        </is>
      </c>
      <c r="H27" s="24" t="inlineStr">
        <is>
          <t>C</t>
        </is>
      </c>
      <c r="I27" s="24" t="inlineStr">
        <is>
          <t>C</t>
        </is>
      </c>
      <c r="J27" s="23" t="inlineStr">
        <is>
          <t>D</t>
        </is>
      </c>
      <c r="K27" s="23" t="inlineStr">
        <is>
          <t>A</t>
        </is>
      </c>
      <c r="L27" s="24" t="inlineStr">
        <is>
          <t>A</t>
        </is>
      </c>
      <c r="M27" s="24" t="inlineStr">
        <is>
          <t>A</t>
        </is>
      </c>
      <c r="N27" s="24" t="inlineStr">
        <is>
          <t>C</t>
        </is>
      </c>
      <c r="O27" s="24" t="inlineStr">
        <is>
          <t>D</t>
        </is>
      </c>
      <c r="P27" s="24">
        <f>(D27=$D$10)+(E27=$E$10)+(F27=$F$10)+(G27=$G$10)+(H27=$H$10)+(I27=$I$10)+(J27=$J$10)+(K27=$K$10)+(L27=$L$10)+(M27=$M$10)+(N27=$N$10)+(O27=$O$10)</f>
        <v/>
      </c>
      <c r="Q27" s="23">
        <f>12-P27-R27</f>
        <v/>
      </c>
      <c r="R27" s="31">
        <f>COUNTBLANK(D27:O27)</f>
        <v/>
      </c>
      <c r="S27" s="32">
        <f>ROUND(P27*(100/12), 1)</f>
        <v/>
      </c>
      <c r="T27" s="33">
        <f>IF(S27&gt;=85, "Pekiyi (5)", IF(S27&gt;=70, "İyi (4)", IF(S27&gt;=55, "Orta (3)", IF(S27&gt;=45, "Geçer (2)", "Geliştirilmeli (1)"))))</f>
        <v/>
      </c>
    </row>
    <row r="28" ht="20" customHeight="1">
      <c r="A28" s="20" t="n">
        <v>17</v>
      </c>
      <c r="B28" s="21" t="n">
        <v>197</v>
      </c>
      <c r="C28" s="22" t="inlineStr">
        <is>
          <t>Nehir DOĞAN</t>
        </is>
      </c>
      <c r="D28" s="24" t="inlineStr">
        <is>
          <t>A</t>
        </is>
      </c>
      <c r="E28" s="24" t="inlineStr">
        <is>
          <t>C</t>
        </is>
      </c>
      <c r="F28" s="24" t="inlineStr">
        <is>
          <t>A</t>
        </is>
      </c>
      <c r="G28" s="24" t="inlineStr">
        <is>
          <t>C</t>
        </is>
      </c>
      <c r="H28" s="23" t="inlineStr">
        <is>
          <t>A</t>
        </is>
      </c>
      <c r="I28" s="23" t="inlineStr">
        <is>
          <t>D</t>
        </is>
      </c>
      <c r="J28" s="24" t="inlineStr">
        <is>
          <t>C</t>
        </is>
      </c>
      <c r="K28" s="24" t="inlineStr">
        <is>
          <t>C</t>
        </is>
      </c>
      <c r="L28" s="24" t="inlineStr">
        <is>
          <t>A</t>
        </is>
      </c>
      <c r="M28" s="24" t="inlineStr">
        <is>
          <t>A</t>
        </is>
      </c>
      <c r="N28" s="24" t="inlineStr">
        <is>
          <t>C</t>
        </is>
      </c>
      <c r="O28" s="24" t="inlineStr">
        <is>
          <t>D</t>
        </is>
      </c>
      <c r="P28" s="24">
        <f>(D28=$D$10)+(E28=$E$10)+(F28=$F$10)+(G28=$G$10)+(H28=$H$10)+(I28=$I$10)+(J28=$J$10)+(K28=$K$10)+(L28=$L$10)+(M28=$M$10)+(N28=$N$10)+(O28=$O$10)</f>
        <v/>
      </c>
      <c r="Q28" s="23">
        <f>12-P28-R28</f>
        <v/>
      </c>
      <c r="R28" s="25">
        <f>COUNTBLANK(D28:O28)</f>
        <v/>
      </c>
      <c r="S28" s="26">
        <f>ROUND(P28*(100/12), 1)</f>
        <v/>
      </c>
      <c r="T28" s="27">
        <f>IF(S28&gt;=85, "Pekiyi (5)", IF(S28&gt;=70, "İyi (4)", IF(S28&gt;=55, "Orta (3)", IF(S28&gt;=45, "Geçer (2)", "Geliştirilmeli (1)"))))</f>
        <v/>
      </c>
    </row>
    <row r="29" ht="20" customHeight="1">
      <c r="A29" s="28" t="n">
        <v>18</v>
      </c>
      <c r="B29" s="29" t="n">
        <v>203</v>
      </c>
      <c r="C29" s="30" t="inlineStr">
        <is>
          <t>Oğuzhan ASLAN</t>
        </is>
      </c>
      <c r="D29" s="24" t="inlineStr">
        <is>
          <t>A</t>
        </is>
      </c>
      <c r="E29" s="23" t="inlineStr">
        <is>
          <t>A</t>
        </is>
      </c>
      <c r="F29" s="24" t="inlineStr">
        <is>
          <t>A</t>
        </is>
      </c>
      <c r="G29" s="24" t="inlineStr">
        <is>
          <t>C</t>
        </is>
      </c>
      <c r="H29" s="23" t="inlineStr">
        <is>
          <t>D</t>
        </is>
      </c>
      <c r="I29" s="24" t="inlineStr">
        <is>
          <t>C</t>
        </is>
      </c>
      <c r="J29" s="24" t="inlineStr">
        <is>
          <t>C</t>
        </is>
      </c>
      <c r="K29" s="24" t="inlineStr">
        <is>
          <t>C</t>
        </is>
      </c>
      <c r="L29" s="24" t="inlineStr">
        <is>
          <t>A</t>
        </is>
      </c>
      <c r="M29" s="24" t="inlineStr">
        <is>
          <t>A</t>
        </is>
      </c>
      <c r="N29" s="24" t="inlineStr">
        <is>
          <t>C</t>
        </is>
      </c>
      <c r="O29" s="23" t="inlineStr">
        <is>
          <t>A</t>
        </is>
      </c>
      <c r="P29" s="24">
        <f>(D29=$D$10)+(E29=$E$10)+(F29=$F$10)+(G29=$G$10)+(H29=$H$10)+(I29=$I$10)+(J29=$J$10)+(K29=$K$10)+(L29=$L$10)+(M29=$M$10)+(N29=$N$10)+(O29=$O$10)</f>
        <v/>
      </c>
      <c r="Q29" s="23">
        <f>12-P29-R29</f>
        <v/>
      </c>
      <c r="R29" s="31">
        <f>COUNTBLANK(D29:O29)</f>
        <v/>
      </c>
      <c r="S29" s="32">
        <f>ROUND(P29*(100/12), 1)</f>
        <v/>
      </c>
      <c r="T29" s="33">
        <f>IF(S29&gt;=85, "Pekiyi (5)", IF(S29&gt;=70, "İyi (4)", IF(S29&gt;=55, "Orta (3)", IF(S29&gt;=45, "Geçer (2)", "Geliştirilmeli (1)"))))</f>
        <v/>
      </c>
    </row>
    <row r="30" ht="20" customHeight="1">
      <c r="A30" s="20" t="n">
        <v>19</v>
      </c>
      <c r="B30" s="21" t="n">
        <v>209</v>
      </c>
      <c r="C30" s="22" t="inlineStr">
        <is>
          <t>Ömer YILDIZ</t>
        </is>
      </c>
      <c r="D30" s="24" t="inlineStr">
        <is>
          <t>A</t>
        </is>
      </c>
      <c r="E30" s="24" t="inlineStr">
        <is>
          <t>C</t>
        </is>
      </c>
      <c r="F30" s="24" t="inlineStr">
        <is>
          <t>A</t>
        </is>
      </c>
      <c r="G30" s="23" t="inlineStr">
        <is>
          <t>D</t>
        </is>
      </c>
      <c r="H30" s="24" t="inlineStr">
        <is>
          <t>C</t>
        </is>
      </c>
      <c r="I30" s="24" t="inlineStr">
        <is>
          <t>C</t>
        </is>
      </c>
      <c r="J30" s="24" t="inlineStr">
        <is>
          <t>C</t>
        </is>
      </c>
      <c r="K30" s="24" t="inlineStr">
        <is>
          <t>C</t>
        </is>
      </c>
      <c r="L30" s="24" t="inlineStr">
        <is>
          <t>A</t>
        </is>
      </c>
      <c r="M30" s="24" t="inlineStr">
        <is>
          <t>A</t>
        </is>
      </c>
      <c r="N30" s="23" t="inlineStr">
        <is>
          <t>D</t>
        </is>
      </c>
      <c r="O30" s="23" t="inlineStr">
        <is>
          <t>B</t>
        </is>
      </c>
      <c r="P30" s="24">
        <f>(D30=$D$10)+(E30=$E$10)+(F30=$F$10)+(G30=$G$10)+(H30=$H$10)+(I30=$I$10)+(J30=$J$10)+(K30=$K$10)+(L30=$L$10)+(M30=$M$10)+(N30=$N$10)+(O30=$O$10)</f>
        <v/>
      </c>
      <c r="Q30" s="23">
        <f>12-P30-R30</f>
        <v/>
      </c>
      <c r="R30" s="25">
        <f>COUNTBLANK(D30:O30)</f>
        <v/>
      </c>
      <c r="S30" s="26">
        <f>ROUND(P30*(100/12), 1)</f>
        <v/>
      </c>
      <c r="T30" s="27">
        <f>IF(S30&gt;=85, "Pekiyi (5)", IF(S30&gt;=70, "İyi (4)", IF(S30&gt;=55, "Orta (3)", IF(S30&gt;=45, "Geçer (2)", "Geliştirilmeli (1)"))))</f>
        <v/>
      </c>
    </row>
    <row r="31" ht="20" customHeight="1">
      <c r="A31" s="28" t="n">
        <v>20</v>
      </c>
      <c r="B31" s="29" t="n">
        <v>215</v>
      </c>
      <c r="C31" s="30" t="inlineStr">
        <is>
          <t>Rabia GÜLER</t>
        </is>
      </c>
      <c r="D31" s="24" t="inlineStr">
        <is>
          <t>A</t>
        </is>
      </c>
      <c r="E31" s="24" t="inlineStr">
        <is>
          <t>C</t>
        </is>
      </c>
      <c r="F31" s="23" t="inlineStr">
        <is>
          <t>B</t>
        </is>
      </c>
      <c r="G31" s="24" t="inlineStr">
        <is>
          <t>C</t>
        </is>
      </c>
      <c r="H31" s="24" t="inlineStr">
        <is>
          <t>C</t>
        </is>
      </c>
      <c r="I31" s="24" t="inlineStr">
        <is>
          <t>C</t>
        </is>
      </c>
      <c r="J31" s="24" t="inlineStr">
        <is>
          <t>C</t>
        </is>
      </c>
      <c r="K31" s="24" t="inlineStr">
        <is>
          <t>C</t>
        </is>
      </c>
      <c r="L31" s="23" t="inlineStr">
        <is>
          <t>C</t>
        </is>
      </c>
      <c r="M31" s="23" t="inlineStr">
        <is>
          <t>B</t>
        </is>
      </c>
      <c r="N31" s="24" t="inlineStr">
        <is>
          <t>C</t>
        </is>
      </c>
      <c r="O31" s="24" t="inlineStr">
        <is>
          <t>D</t>
        </is>
      </c>
      <c r="P31" s="24">
        <f>(D31=$D$10)+(E31=$E$10)+(F31=$F$10)+(G31=$G$10)+(H31=$H$10)+(I31=$I$10)+(J31=$J$10)+(K31=$K$10)+(L31=$L$10)+(M31=$M$10)+(N31=$N$10)+(O31=$O$10)</f>
        <v/>
      </c>
      <c r="Q31" s="23">
        <f>12-P31-R31</f>
        <v/>
      </c>
      <c r="R31" s="31">
        <f>COUNTBLANK(D31:O31)</f>
        <v/>
      </c>
      <c r="S31" s="32">
        <f>ROUND(P31*(100/12), 1)</f>
        <v/>
      </c>
      <c r="T31" s="33">
        <f>IF(S31&gt;=85, "Pekiyi (5)", IF(S31&gt;=70, "İyi (4)", IF(S31&gt;=55, "Orta (3)", IF(S31&gt;=45, "Geçer (2)", "Geliştirilmeli (1)"))))</f>
        <v/>
      </c>
    </row>
    <row r="32" ht="20" customHeight="1">
      <c r="A32" s="20" t="n">
        <v>21</v>
      </c>
      <c r="B32" s="21" t="n">
        <v>221</v>
      </c>
      <c r="C32" s="22" t="inlineStr">
        <is>
          <t>Salih BOZKURT</t>
        </is>
      </c>
      <c r="D32" s="24" t="inlineStr">
        <is>
          <t>A</t>
        </is>
      </c>
      <c r="E32" s="23" t="inlineStr">
        <is>
          <t>D</t>
        </is>
      </c>
      <c r="F32" s="24" t="inlineStr">
        <is>
          <t>A</t>
        </is>
      </c>
      <c r="G32" s="24" t="inlineStr">
        <is>
          <t>C</t>
        </is>
      </c>
      <c r="H32" s="24" t="inlineStr">
        <is>
          <t>C</t>
        </is>
      </c>
      <c r="I32" s="23" t="inlineStr">
        <is>
          <t>A</t>
        </is>
      </c>
      <c r="J32" s="24" t="inlineStr">
        <is>
          <t>C</t>
        </is>
      </c>
      <c r="K32" s="24" t="inlineStr">
        <is>
          <t>C</t>
        </is>
      </c>
      <c r="L32" s="23" t="inlineStr">
        <is>
          <t>B</t>
        </is>
      </c>
      <c r="M32" s="24" t="inlineStr">
        <is>
          <t>A</t>
        </is>
      </c>
      <c r="N32" s="24" t="inlineStr">
        <is>
          <t>C</t>
        </is>
      </c>
      <c r="O32" s="24" t="inlineStr">
        <is>
          <t>D</t>
        </is>
      </c>
      <c r="P32" s="24">
        <f>(D32=$D$10)+(E32=$E$10)+(F32=$F$10)+(G32=$G$10)+(H32=$H$10)+(I32=$I$10)+(J32=$J$10)+(K32=$K$10)+(L32=$L$10)+(M32=$M$10)+(N32=$N$10)+(O32=$O$10)</f>
        <v/>
      </c>
      <c r="Q32" s="23">
        <f>12-P32-R32</f>
        <v/>
      </c>
      <c r="R32" s="25">
        <f>COUNTBLANK(D32:O32)</f>
        <v/>
      </c>
      <c r="S32" s="26">
        <f>ROUND(P32*(100/12), 1)</f>
        <v/>
      </c>
      <c r="T32" s="27">
        <f>IF(S32&gt;=85, "Pekiyi (5)", IF(S32&gt;=70, "İyi (4)", IF(S32&gt;=55, "Orta (3)", IF(S32&gt;=45, "Geçer (2)", "Geliştirilmeli (1)"))))</f>
        <v/>
      </c>
    </row>
    <row r="33" ht="20" customHeight="1">
      <c r="A33" s="28" t="n">
        <v>22</v>
      </c>
      <c r="B33" s="29" t="n">
        <v>227</v>
      </c>
      <c r="C33" s="30" t="inlineStr">
        <is>
          <t>Selin AVCI</t>
        </is>
      </c>
      <c r="D33" s="23" t="inlineStr">
        <is>
          <t>B</t>
        </is>
      </c>
      <c r="E33" s="24" t="inlineStr">
        <is>
          <t>C</t>
        </is>
      </c>
      <c r="F33" s="23" t="inlineStr">
        <is>
          <t>C</t>
        </is>
      </c>
      <c r="G33" s="24" t="inlineStr">
        <is>
          <t>C</t>
        </is>
      </c>
      <c r="H33" s="24" t="inlineStr">
        <is>
          <t>C</t>
        </is>
      </c>
      <c r="I33" s="24" t="inlineStr">
        <is>
          <t>C</t>
        </is>
      </c>
      <c r="J33" s="24" t="inlineStr">
        <is>
          <t>C</t>
        </is>
      </c>
      <c r="K33" s="23" t="inlineStr">
        <is>
          <t>D</t>
        </is>
      </c>
      <c r="L33" s="24" t="inlineStr">
        <is>
          <t>A</t>
        </is>
      </c>
      <c r="M33" s="24" t="inlineStr">
        <is>
          <t>A</t>
        </is>
      </c>
      <c r="N33" s="24" t="inlineStr">
        <is>
          <t>C</t>
        </is>
      </c>
      <c r="O33" s="24" t="inlineStr">
        <is>
          <t>D</t>
        </is>
      </c>
      <c r="P33" s="24">
        <f>(D33=$D$10)+(E33=$E$10)+(F33=$F$10)+(G33=$G$10)+(H33=$H$10)+(I33=$I$10)+(J33=$J$10)+(K33=$K$10)+(L33=$L$10)+(M33=$M$10)+(N33=$N$10)+(O33=$O$10)</f>
        <v/>
      </c>
      <c r="Q33" s="23">
        <f>12-P33-R33</f>
        <v/>
      </c>
      <c r="R33" s="31">
        <f>COUNTBLANK(D33:O33)</f>
        <v/>
      </c>
      <c r="S33" s="32">
        <f>ROUND(P33*(100/12), 1)</f>
        <v/>
      </c>
      <c r="T33" s="33">
        <f>IF(S33&gt;=85, "Pekiyi (5)", IF(S33&gt;=70, "İyi (4)", IF(S33&gt;=55, "Orta (3)", IF(S33&gt;=45, "Geçer (2)", "Geliştirilmeli (1)"))))</f>
        <v/>
      </c>
    </row>
    <row r="34" ht="20" customHeight="1">
      <c r="A34" s="20" t="n">
        <v>23</v>
      </c>
      <c r="B34" s="21" t="n">
        <v>233</v>
      </c>
      <c r="C34" s="22" t="inlineStr">
        <is>
          <t>Semih TEKİN</t>
        </is>
      </c>
      <c r="D34" s="24" t="inlineStr">
        <is>
          <t>A</t>
        </is>
      </c>
      <c r="E34" s="24" t="inlineStr">
        <is>
          <t>C</t>
        </is>
      </c>
      <c r="F34" s="24" t="inlineStr">
        <is>
          <t>A</t>
        </is>
      </c>
      <c r="G34" s="24" t="inlineStr">
        <is>
          <t>C</t>
        </is>
      </c>
      <c r="H34" s="24" t="inlineStr">
        <is>
          <t>C</t>
        </is>
      </c>
      <c r="I34" s="24" t="inlineStr">
        <is>
          <t>C</t>
        </is>
      </c>
      <c r="J34" s="23" t="inlineStr">
        <is>
          <t>D</t>
        </is>
      </c>
      <c r="K34" s="24" t="inlineStr">
        <is>
          <t>C</t>
        </is>
      </c>
      <c r="L34" s="24" t="inlineStr">
        <is>
          <t>A</t>
        </is>
      </c>
      <c r="M34" s="24" t="inlineStr">
        <is>
          <t>A</t>
        </is>
      </c>
      <c r="N34" s="24" t="inlineStr">
        <is>
          <t>C</t>
        </is>
      </c>
      <c r="O34" s="24" t="inlineStr">
        <is>
          <t>D</t>
        </is>
      </c>
      <c r="P34" s="24">
        <f>(D34=$D$10)+(E34=$E$10)+(F34=$F$10)+(G34=$G$10)+(H34=$H$10)+(I34=$I$10)+(J34=$J$10)+(K34=$K$10)+(L34=$L$10)+(M34=$M$10)+(N34=$N$10)+(O34=$O$10)</f>
        <v/>
      </c>
      <c r="Q34" s="23">
        <f>12-P34-R34</f>
        <v/>
      </c>
      <c r="R34" s="25">
        <f>COUNTBLANK(D34:O34)</f>
        <v/>
      </c>
      <c r="S34" s="26">
        <f>ROUND(P34*(100/12), 1)</f>
        <v/>
      </c>
      <c r="T34" s="27">
        <f>IF(S34&gt;=85, "Pekiyi (5)", IF(S34&gt;=70, "İyi (4)", IF(S34&gt;=55, "Orta (3)", IF(S34&gt;=45, "Geçer (2)", "Geliştirilmeli (1)"))))</f>
        <v/>
      </c>
    </row>
    <row r="35" ht="20" customHeight="1">
      <c r="A35" s="28" t="n">
        <v>24</v>
      </c>
      <c r="B35" s="29" t="n">
        <v>239</v>
      </c>
      <c r="C35" s="30" t="inlineStr">
        <is>
          <t>Sena TUNÇ</t>
        </is>
      </c>
      <c r="D35" s="24" t="inlineStr">
        <is>
          <t>A</t>
        </is>
      </c>
      <c r="E35" s="24" t="inlineStr">
        <is>
          <t>C</t>
        </is>
      </c>
      <c r="F35" s="24" t="inlineStr">
        <is>
          <t>A</t>
        </is>
      </c>
      <c r="G35" s="24" t="inlineStr">
        <is>
          <t>C</t>
        </is>
      </c>
      <c r="H35" s="24" t="inlineStr">
        <is>
          <t>C</t>
        </is>
      </c>
      <c r="I35" s="23" t="inlineStr">
        <is>
          <t>D</t>
        </is>
      </c>
      <c r="J35" s="24" t="inlineStr">
        <is>
          <t>C</t>
        </is>
      </c>
      <c r="K35" s="24" t="inlineStr">
        <is>
          <t>C</t>
        </is>
      </c>
      <c r="L35" s="24" t="inlineStr">
        <is>
          <t>A</t>
        </is>
      </c>
      <c r="M35" s="23" t="inlineStr">
        <is>
          <t>C</t>
        </is>
      </c>
      <c r="N35" s="24" t="inlineStr">
        <is>
          <t>C</t>
        </is>
      </c>
      <c r="O35" s="24" t="inlineStr">
        <is>
          <t>D</t>
        </is>
      </c>
      <c r="P35" s="24">
        <f>(D35=$D$10)+(E35=$E$10)+(F35=$F$10)+(G35=$G$10)+(H35=$H$10)+(I35=$I$10)+(J35=$J$10)+(K35=$K$10)+(L35=$L$10)+(M35=$M$10)+(N35=$N$10)+(O35=$O$10)</f>
        <v/>
      </c>
      <c r="Q35" s="23">
        <f>12-P35-R35</f>
        <v/>
      </c>
      <c r="R35" s="31">
        <f>COUNTBLANK(D35:O35)</f>
        <v/>
      </c>
      <c r="S35" s="32">
        <f>ROUND(P35*(100/12), 1)</f>
        <v/>
      </c>
      <c r="T35" s="33">
        <f>IF(S35&gt;=85, "Pekiyi (5)", IF(S35&gt;=70, "İyi (4)", IF(S35&gt;=55, "Orta (3)", IF(S35&gt;=45, "Geçer (2)", "Geliştirilmeli (1)"))))</f>
        <v/>
      </c>
    </row>
    <row r="36" ht="20" customHeight="1">
      <c r="A36" s="20" t="n">
        <v>25</v>
      </c>
      <c r="B36" s="21" t="n">
        <v>245</v>
      </c>
      <c r="C36" s="22" t="inlineStr">
        <is>
          <t>Tolga YAVUZ</t>
        </is>
      </c>
      <c r="D36" s="24" t="inlineStr">
        <is>
          <t>A</t>
        </is>
      </c>
      <c r="E36" s="24" t="inlineStr">
        <is>
          <t>C</t>
        </is>
      </c>
      <c r="F36" s="24" t="inlineStr">
        <is>
          <t>A</t>
        </is>
      </c>
      <c r="G36" s="24" t="inlineStr">
        <is>
          <t>C</t>
        </is>
      </c>
      <c r="H36" s="23" t="inlineStr">
        <is>
          <t>D</t>
        </is>
      </c>
      <c r="I36" s="24" t="inlineStr">
        <is>
          <t>C</t>
        </is>
      </c>
      <c r="J36" s="23" t="inlineStr">
        <is>
          <t>A</t>
        </is>
      </c>
      <c r="K36" s="24" t="inlineStr">
        <is>
          <t>C</t>
        </is>
      </c>
      <c r="L36" s="24" t="inlineStr">
        <is>
          <t>A</t>
        </is>
      </c>
      <c r="M36" s="24" t="inlineStr">
        <is>
          <t>A</t>
        </is>
      </c>
      <c r="N36" s="24" t="inlineStr">
        <is>
          <t>C</t>
        </is>
      </c>
      <c r="O36" s="23" t="inlineStr">
        <is>
          <t>A</t>
        </is>
      </c>
      <c r="P36" s="24">
        <f>(D36=$D$10)+(E36=$E$10)+(F36=$F$10)+(G36=$G$10)+(H36=$H$10)+(I36=$I$10)+(J36=$J$10)+(K36=$K$10)+(L36=$L$10)+(M36=$M$10)+(N36=$N$10)+(O36=$O$10)</f>
        <v/>
      </c>
      <c r="Q36" s="23">
        <f>12-P36-R36</f>
        <v/>
      </c>
      <c r="R36" s="25">
        <f>COUNTBLANK(D36:O36)</f>
        <v/>
      </c>
      <c r="S36" s="26">
        <f>ROUND(P36*(100/12), 1)</f>
        <v/>
      </c>
      <c r="T36" s="27">
        <f>IF(S36&gt;=85, "Pekiyi (5)", IF(S36&gt;=70, "İyi (4)", IF(S36&gt;=55, "Orta (3)", IF(S36&gt;=45, "Geçer (2)", "Geliştirilmeli (1)"))))</f>
        <v/>
      </c>
    </row>
    <row r="37" ht="20" customHeight="1">
      <c r="A37" s="28" t="n">
        <v>26</v>
      </c>
      <c r="B37" s="29" t="n">
        <v>251</v>
      </c>
      <c r="C37" s="30" t="inlineStr">
        <is>
          <t>Tuğba KARA</t>
        </is>
      </c>
      <c r="D37" s="24" t="inlineStr">
        <is>
          <t>A</t>
        </is>
      </c>
      <c r="E37" s="24" t="inlineStr">
        <is>
          <t>C</t>
        </is>
      </c>
      <c r="F37" s="24" t="inlineStr">
        <is>
          <t>A</t>
        </is>
      </c>
      <c r="G37" s="23" t="inlineStr">
        <is>
          <t>D</t>
        </is>
      </c>
      <c r="H37" s="24" t="inlineStr">
        <is>
          <t>C</t>
        </is>
      </c>
      <c r="I37" s="24" t="inlineStr">
        <is>
          <t>C</t>
        </is>
      </c>
      <c r="J37" s="24" t="inlineStr">
        <is>
          <t>C</t>
        </is>
      </c>
      <c r="K37" s="24" t="inlineStr">
        <is>
          <t>C</t>
        </is>
      </c>
      <c r="L37" s="24" t="inlineStr">
        <is>
          <t>A</t>
        </is>
      </c>
      <c r="M37" s="24" t="inlineStr">
        <is>
          <t>A</t>
        </is>
      </c>
      <c r="N37" s="23" t="inlineStr">
        <is>
          <t>D</t>
        </is>
      </c>
      <c r="O37" s="24" t="inlineStr">
        <is>
          <t>D</t>
        </is>
      </c>
      <c r="P37" s="24">
        <f>(D37=$D$10)+(E37=$E$10)+(F37=$F$10)+(G37=$G$10)+(H37=$H$10)+(I37=$I$10)+(J37=$J$10)+(K37=$K$10)+(L37=$L$10)+(M37=$M$10)+(N37=$N$10)+(O37=$O$10)</f>
        <v/>
      </c>
      <c r="Q37" s="23">
        <f>12-P37-R37</f>
        <v/>
      </c>
      <c r="R37" s="31">
        <f>COUNTBLANK(D37:O37)</f>
        <v/>
      </c>
      <c r="S37" s="32">
        <f>ROUND(P37*(100/12), 1)</f>
        <v/>
      </c>
      <c r="T37" s="33">
        <f>IF(S37&gt;=85, "Pekiyi (5)", IF(S37&gt;=70, "İyi (4)", IF(S37&gt;=55, "Orta (3)", IF(S37&gt;=45, "Geçer (2)", "Geliştirilmeli (1)"))))</f>
        <v/>
      </c>
    </row>
    <row r="38" ht="20" customHeight="1">
      <c r="A38" s="20" t="n">
        <v>27</v>
      </c>
      <c r="B38" s="21" t="n">
        <v>257</v>
      </c>
      <c r="C38" s="22" t="inlineStr">
        <is>
          <t>Umut EREN</t>
        </is>
      </c>
      <c r="D38" s="23" t="inlineStr">
        <is>
          <t>C</t>
        </is>
      </c>
      <c r="E38" s="24" t="inlineStr">
        <is>
          <t>C</t>
        </is>
      </c>
      <c r="F38" s="23" t="inlineStr">
        <is>
          <t>B</t>
        </is>
      </c>
      <c r="G38" s="24" t="inlineStr">
        <is>
          <t>C</t>
        </is>
      </c>
      <c r="H38" s="24" t="inlineStr">
        <is>
          <t>C</t>
        </is>
      </c>
      <c r="I38" s="24" t="inlineStr">
        <is>
          <t>C</t>
        </is>
      </c>
      <c r="J38" s="24" t="inlineStr">
        <is>
          <t>C</t>
        </is>
      </c>
      <c r="K38" s="24" t="inlineStr">
        <is>
          <t>C</t>
        </is>
      </c>
      <c r="L38" s="24" t="inlineStr">
        <is>
          <t>A</t>
        </is>
      </c>
      <c r="M38" s="23" t="inlineStr">
        <is>
          <t>B</t>
        </is>
      </c>
      <c r="N38" s="24" t="inlineStr">
        <is>
          <t>C</t>
        </is>
      </c>
      <c r="O38" s="24" t="inlineStr">
        <is>
          <t>D</t>
        </is>
      </c>
      <c r="P38" s="24">
        <f>(D38=$D$10)+(E38=$E$10)+(F38=$F$10)+(G38=$G$10)+(H38=$H$10)+(I38=$I$10)+(J38=$J$10)+(K38=$K$10)+(L38=$L$10)+(M38=$M$10)+(N38=$N$10)+(O38=$O$10)</f>
        <v/>
      </c>
      <c r="Q38" s="23">
        <f>12-P38-R38</f>
        <v/>
      </c>
      <c r="R38" s="25">
        <f>COUNTBLANK(D38:O38)</f>
        <v/>
      </c>
      <c r="S38" s="26">
        <f>ROUND(P38*(100/12), 1)</f>
        <v/>
      </c>
      <c r="T38" s="27">
        <f>IF(S38&gt;=85, "Pekiyi (5)", IF(S38&gt;=70, "İyi (4)", IF(S38&gt;=55, "Orta (3)", IF(S38&gt;=45, "Geçer (2)", "Geliştirilmeli (1)"))))</f>
        <v/>
      </c>
    </row>
    <row r="39" ht="20" customHeight="1">
      <c r="A39" s="28" t="n">
        <v>28</v>
      </c>
      <c r="B39" s="29" t="n">
        <v>263</v>
      </c>
      <c r="C39" s="30" t="inlineStr">
        <is>
          <t>Zeynep TAŞ</t>
        </is>
      </c>
      <c r="D39" s="24" t="inlineStr">
        <is>
          <t>A</t>
        </is>
      </c>
      <c r="E39" s="23" t="inlineStr">
        <is>
          <t>D</t>
        </is>
      </c>
      <c r="F39" s="24" t="inlineStr">
        <is>
          <t>A</t>
        </is>
      </c>
      <c r="G39" s="24" t="inlineStr">
        <is>
          <t>C</t>
        </is>
      </c>
      <c r="H39" s="24" t="inlineStr">
        <is>
          <t>C</t>
        </is>
      </c>
      <c r="I39" s="24" t="inlineStr">
        <is>
          <t>C</t>
        </is>
      </c>
      <c r="J39" s="24" t="inlineStr">
        <is>
          <t>C</t>
        </is>
      </c>
      <c r="K39" s="24" t="inlineStr">
        <is>
          <t>C</t>
        </is>
      </c>
      <c r="L39" s="23" t="inlineStr">
        <is>
          <t>B</t>
        </is>
      </c>
      <c r="M39" s="24" t="inlineStr">
        <is>
          <t>A</t>
        </is>
      </c>
      <c r="N39" s="23" t="inlineStr">
        <is>
          <t>A</t>
        </is>
      </c>
      <c r="O39" s="24" t="inlineStr">
        <is>
          <t>D</t>
        </is>
      </c>
      <c r="P39" s="24">
        <f>(D39=$D$10)+(E39=$E$10)+(F39=$F$10)+(G39=$G$10)+(H39=$H$10)+(I39=$I$10)+(J39=$J$10)+(K39=$K$10)+(L39=$L$10)+(M39=$M$10)+(N39=$N$10)+(O39=$O$10)</f>
        <v/>
      </c>
      <c r="Q39" s="23">
        <f>12-P39-R39</f>
        <v/>
      </c>
      <c r="R39" s="31">
        <f>COUNTBLANK(D39:O39)</f>
        <v/>
      </c>
      <c r="S39" s="32">
        <f>ROUND(P39*(100/12), 1)</f>
        <v/>
      </c>
      <c r="T39" s="33">
        <f>IF(S39&gt;=85, "Pekiyi (5)", IF(S39&gt;=70, "İyi (4)", IF(S39&gt;=55, "Orta (3)", IF(S39&gt;=45, "Geçer (2)", "Geliştirilmeli (1)"))))</f>
        <v/>
      </c>
    </row>
    <row r="42" ht="22" customHeight="1">
      <c r="A42" s="34" t="inlineStr">
        <is>
          <t>SINIF TOPLAMI / DOĞRU ÇÖZEN SAYISI</t>
        </is>
      </c>
      <c r="D42" s="34">
        <f>COUNTIF(D12:D41, D$10)</f>
        <v/>
      </c>
      <c r="E42" s="34">
        <f>COUNTIF(E12:E41, E$10)</f>
        <v/>
      </c>
      <c r="F42" s="34">
        <f>COUNTIF(F12:F41, F$10)</f>
        <v/>
      </c>
      <c r="G42" s="34">
        <f>COUNTIF(G12:G41, G$10)</f>
        <v/>
      </c>
      <c r="H42" s="34">
        <f>COUNTIF(H12:H41, H$10)</f>
        <v/>
      </c>
      <c r="I42" s="34">
        <f>COUNTIF(I12:I41, I$10)</f>
        <v/>
      </c>
      <c r="J42" s="34">
        <f>COUNTIF(J12:J41, J$10)</f>
        <v/>
      </c>
      <c r="K42" s="34">
        <f>COUNTIF(K12:K41, K$10)</f>
        <v/>
      </c>
      <c r="L42" s="34">
        <f>COUNTIF(L12:L41, L$10)</f>
        <v/>
      </c>
      <c r="M42" s="34">
        <f>COUNTIF(M12:M41, M$10)</f>
        <v/>
      </c>
      <c r="N42" s="34">
        <f>COUNTIF(N12:N41, N$10)</f>
        <v/>
      </c>
      <c r="O42" s="34">
        <f>COUNTIF(O12:O41, O$10)</f>
        <v/>
      </c>
      <c r="P42" s="35">
        <f>AVERAGE(P12:P41)</f>
        <v/>
      </c>
      <c r="Q42" s="36">
        <f>AVERAGE(Q12:Q41)</f>
        <v/>
      </c>
      <c r="R42" s="37">
        <f>AVERAGE(R12:R41)</f>
        <v/>
      </c>
      <c r="S42" s="38">
        <f>AVERAGE(S12:S41)</f>
        <v/>
      </c>
      <c r="T42" s="34">
        <f>IF(S42&gt;=85, "Genel Pekiyi", IF(S42&gt;=70, "Genel İyi", IF(S42&gt;=50, "Genel Orta", "Desteklenmeli")))</f>
        <v/>
      </c>
    </row>
    <row r="43" ht="20" customHeight="1">
      <c r="A43" s="39" t="inlineStr">
        <is>
          <t>SORU BAZLI SINIF BAŞARI YÜZDESİ (%)</t>
        </is>
      </c>
      <c r="D43" s="40">
        <f>D42/COUNTA($C$12:$C$41)</f>
        <v/>
      </c>
      <c r="E43" s="40">
        <f>E42/COUNTA($C$12:$C$41)</f>
        <v/>
      </c>
      <c r="F43" s="40">
        <f>F42/COUNTA($C$12:$C$41)</f>
        <v/>
      </c>
      <c r="G43" s="40">
        <f>G42/COUNTA($C$12:$C$41)</f>
        <v/>
      </c>
      <c r="H43" s="40">
        <f>H42/COUNTA($C$12:$C$41)</f>
        <v/>
      </c>
      <c r="I43" s="40">
        <f>I42/COUNTA($C$12:$C$41)</f>
        <v/>
      </c>
      <c r="J43" s="40">
        <f>J42/COUNTA($C$12:$C$41)</f>
        <v/>
      </c>
      <c r="K43" s="40">
        <f>K42/COUNTA($C$12:$C$41)</f>
        <v/>
      </c>
      <c r="L43" s="40">
        <f>L42/COUNTA($C$12:$C$41)</f>
        <v/>
      </c>
      <c r="M43" s="40">
        <f>M42/COUNTA($C$12:$C$41)</f>
        <v/>
      </c>
      <c r="N43" s="40">
        <f>N42/COUNTA($C$12:$C$41)</f>
        <v/>
      </c>
      <c r="O43" s="40">
        <f>O42/COUNTA($C$12:$C$41)</f>
        <v/>
      </c>
      <c r="P43" s="41" t="inlineStr">
        <is>
          <t>Kazanım analiz detayları ve grafik için 'Kazanım Analizi' sayfasına bakınız.</t>
        </is>
      </c>
    </row>
    <row r="46">
      <c r="C46" s="42" t="inlineStr">
        <is>
          <t>Ders Öğretmeni</t>
        </is>
      </c>
      <c r="R46" s="42" t="inlineStr">
        <is>
          <t>Okul Müdürü</t>
        </is>
      </c>
    </row>
    <row r="47">
      <c r="C47" s="43" t="inlineStr">
        <is>
          <t>Uğur YAŞAYAN</t>
        </is>
      </c>
      <c r="R47" s="43" t="inlineStr">
        <is>
          <t>Mustafa ÖZKAN</t>
        </is>
      </c>
    </row>
    <row r="48">
      <c r="C48" s="44" t="inlineStr">
        <is>
          <t>Matematik Öğretmeni</t>
        </is>
      </c>
      <c r="R48" s="44" t="inlineStr">
        <is>
          <t>Alparslan Ortaokulu Müdürü</t>
        </is>
      </c>
    </row>
    <row r="49">
      <c r="C49" s="45" t="inlineStr">
        <is>
          <t>İmza: .......................................</t>
        </is>
      </c>
      <c r="R49" s="45" t="inlineStr">
        <is>
          <t>İmza: .......................................</t>
        </is>
      </c>
    </row>
  </sheetData>
  <mergeCells count="18">
    <mergeCell ref="A1:T1"/>
    <mergeCell ref="E6:G7"/>
    <mergeCell ref="I6:K7"/>
    <mergeCell ref="A10:C10"/>
    <mergeCell ref="A42:C42"/>
    <mergeCell ref="P43:T43"/>
    <mergeCell ref="A43:C43"/>
    <mergeCell ref="E5:G5"/>
    <mergeCell ref="B5:C5"/>
    <mergeCell ref="A3:T3"/>
    <mergeCell ref="I5:K5"/>
    <mergeCell ref="M5:O5"/>
    <mergeCell ref="B6:C7"/>
    <mergeCell ref="P10:T10"/>
    <mergeCell ref="A2:T2"/>
    <mergeCell ref="Q5:T5"/>
    <mergeCell ref="Q6:T7"/>
    <mergeCell ref="M6:O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  <col width="7" customWidth="1" min="4" max="4"/>
    <col width="8" customWidth="1" min="5" max="5"/>
    <col width="9" customWidth="1" min="6" max="6"/>
    <col width="14" customWidth="1" min="7" max="7"/>
    <col width="7" customWidth="1" min="8" max="8"/>
    <col width="7" customWidth="1" min="9" max="9"/>
    <col width="7" customWidth="1" min="10" max="10"/>
    <col width="7" customWidth="1" min="11" max="11"/>
    <col width="12" customWidth="1" min="12" max="12"/>
    <col width="48" customWidth="1" min="13" max="13"/>
  </cols>
  <sheetData>
    <row r="1" ht="24" customHeight="1">
      <c r="A1" s="1" t="inlineStr">
        <is>
          <t>5. SINIF MATEMATİK DERSİ • 1. HAFTA KAZANIM VE MADDE (SORU) ANALİZ RAPORU</t>
        </is>
      </c>
    </row>
    <row r="2" ht="18" customHeight="1">
      <c r="A2" s="46" t="inlineStr">
        <is>
          <t>Alparslan Ortaokulu • 5/A Şubesi • Zümre Öğretmeni: Uğur YAŞAYAN • Türkiye Yüzyılı Maarif Modeli</t>
        </is>
      </c>
    </row>
    <row r="4" ht="26" customHeight="1">
      <c r="A4" s="19" t="inlineStr">
        <is>
          <t>Soru
No</t>
        </is>
      </c>
      <c r="B4" s="19" t="inlineStr">
        <is>
          <t>Konu / Beceri Başlığı</t>
        </is>
      </c>
      <c r="C4" s="19" t="inlineStr">
        <is>
          <t>Kazanım Kodu &amp; Açıklaması</t>
        </is>
      </c>
      <c r="D4" s="19" t="inlineStr">
        <is>
          <t>Doğru
Şık</t>
        </is>
      </c>
      <c r="E4" s="19" t="inlineStr">
        <is>
          <t>Doğru
Sayı</t>
        </is>
      </c>
      <c r="F4" s="19" t="inlineStr">
        <is>
          <t>Başarı
(%)</t>
        </is>
      </c>
      <c r="G4" s="19" t="inlineStr">
        <is>
          <t>Soru Güçlüğü
(İndeks)</t>
        </is>
      </c>
      <c r="H4" s="19" t="inlineStr">
        <is>
          <t>A
Seçen</t>
        </is>
      </c>
      <c r="I4" s="19" t="inlineStr">
        <is>
          <t>B
Seçen</t>
        </is>
      </c>
      <c r="J4" s="19" t="inlineStr">
        <is>
          <t>C
Seçen</t>
        </is>
      </c>
      <c r="K4" s="19" t="inlineStr">
        <is>
          <t>D
Seçen</t>
        </is>
      </c>
      <c r="L4" s="19" t="inlineStr">
        <is>
          <t>Kritik Çeldirici
(Tuzak Şık)</t>
        </is>
      </c>
      <c r="M4" s="19" t="inlineStr">
        <is>
          <t>Pedagojik Teşhis &amp; Kavram Yanılgısı Analizi</t>
        </is>
      </c>
    </row>
    <row r="5" ht="36" customHeight="1">
      <c r="A5" s="47" t="n">
        <v>1</v>
      </c>
      <c r="B5" s="48" t="inlineStr">
        <is>
          <t>Temel Toplama</t>
        </is>
      </c>
      <c r="C5" s="49" t="inlineStr">
        <is>
          <t>MAT.7.1.1.1: Aynı ve farklı işaretli tam sayılarda toplama işlemini yapar.</t>
        </is>
      </c>
      <c r="D5" s="50" t="inlineStr">
        <is>
          <t>A</t>
        </is>
      </c>
      <c r="E5" s="47">
        <f>'Optik Giriş ve Notlar'!D42</f>
        <v/>
      </c>
      <c r="F5" s="51">
        <f>'Optik Giriş ve Notlar'!D43</f>
        <v/>
      </c>
      <c r="G5" s="27">
        <f>IF(F5&gt;=0.85, "Çok Kolay", IF(F5&gt;=0.70, "Kolay", IF(F5&gt;=0.50, "Orta Güçlükte", IF(F5&gt;=0.30, "Zor", "Çok Zor"))))</f>
        <v/>
      </c>
      <c r="H5" s="24">
        <f>COUNTIF('Optik Giriş ve Notlar'!D$12:D$41, "A")</f>
        <v/>
      </c>
      <c r="I5" s="25">
        <f>COUNTIF('Optik Giriş ve Notlar'!D$12:D$41, "B")</f>
        <v/>
      </c>
      <c r="J5" s="25">
        <f>COUNTIF('Optik Giriş ve Notlar'!D$12:D$41, "C")</f>
        <v/>
      </c>
      <c r="K5" s="25">
        <f>COUNTIF('Optik Giriş ve Notlar'!D$12:D$41, "D")</f>
        <v/>
      </c>
      <c r="L5" s="52" t="inlineStr">
        <is>
          <t>-</t>
        </is>
      </c>
      <c r="M5" s="53" t="inlineStr">
        <is>
          <t>Zıt işaretlileri toplarken çıkarma yerine mutlak değerleri toplama hatası.</t>
        </is>
      </c>
    </row>
    <row r="6" ht="36" customHeight="1">
      <c r="A6" s="54" t="n">
        <v>2</v>
      </c>
      <c r="B6" s="55" t="inlineStr">
        <is>
          <t>Çıkarma İşlemi</t>
        </is>
      </c>
      <c r="C6" s="56" t="inlineStr">
        <is>
          <t>MAT.7.1.1.1: Tam sayılarda çıkarma işlemini toplama işlemine dönüştürerek çözer.</t>
        </is>
      </c>
      <c r="D6" s="50" t="inlineStr">
        <is>
          <t>C</t>
        </is>
      </c>
      <c r="E6" s="54">
        <f>'Optik Giriş ve Notlar'!E42</f>
        <v/>
      </c>
      <c r="F6" s="57">
        <f>'Optik Giriş ve Notlar'!E43</f>
        <v/>
      </c>
      <c r="G6" s="33">
        <f>IF(F6&gt;=0.85, "Çok Kolay", IF(F6&gt;=0.70, "Kolay", IF(F6&gt;=0.50, "Orta Güçlükte", IF(F6&gt;=0.30, "Zor", "Çok Zor"))))</f>
        <v/>
      </c>
      <c r="H6" s="31">
        <f>COUNTIF('Optik Giriş ve Notlar'!E$12:E$41, "A")</f>
        <v/>
      </c>
      <c r="I6" s="31">
        <f>COUNTIF('Optik Giriş ve Notlar'!E$12:E$41, "B")</f>
        <v/>
      </c>
      <c r="J6" s="24">
        <f>COUNTIF('Optik Giriş ve Notlar'!E$12:E$41, "C")</f>
        <v/>
      </c>
      <c r="K6" s="31">
        <f>COUNTIF('Optik Giriş ve Notlar'!E$12:E$41, "D")</f>
        <v/>
      </c>
      <c r="L6" s="58" t="inlineStr">
        <is>
          <t>A</t>
        </is>
      </c>
      <c r="M6" s="59" t="inlineStr">
        <is>
          <t>Eksi ile eksinin çarpım/toplam yönünü karıştırıp (+18)-(-14) işlemini 18-14=4 sanma.</t>
        </is>
      </c>
    </row>
    <row r="7" ht="36" customHeight="1">
      <c r="A7" s="47" t="n">
        <v>3</v>
      </c>
      <c r="B7" s="48" t="inlineStr">
        <is>
          <t>Sayma Pulları</t>
        </is>
      </c>
      <c r="C7" s="49" t="inlineStr">
        <is>
          <t>MAT.7.1.1.2: Tam sayılarda toplama işlemini sayma pullarıyla modeller ve nötr çiftleri açıklar.</t>
        </is>
      </c>
      <c r="D7" s="50" t="inlineStr">
        <is>
          <t>A</t>
        </is>
      </c>
      <c r="E7" s="47">
        <f>'Optik Giriş ve Notlar'!F42</f>
        <v/>
      </c>
      <c r="F7" s="51">
        <f>'Optik Giriş ve Notlar'!F43</f>
        <v/>
      </c>
      <c r="G7" s="27">
        <f>IF(F7&gt;=0.85, "Çok Kolay", IF(F7&gt;=0.70, "Kolay", IF(F7&gt;=0.50, "Orta Güçlükte", IF(F7&gt;=0.30, "Zor", "Çok Zor"))))</f>
        <v/>
      </c>
      <c r="H7" s="24">
        <f>COUNTIF('Optik Giriş ve Notlar'!F$12:F$41, "A")</f>
        <v/>
      </c>
      <c r="I7" s="25">
        <f>COUNTIF('Optik Giriş ve Notlar'!F$12:F$41, "B")</f>
        <v/>
      </c>
      <c r="J7" s="25">
        <f>COUNTIF('Optik Giriş ve Notlar'!F$12:F$41, "C")</f>
        <v/>
      </c>
      <c r="K7" s="25">
        <f>COUNTIF('Optik Giriş ve Notlar'!F$12:F$41, "D")</f>
        <v/>
      </c>
      <c r="L7" s="52" t="inlineStr">
        <is>
          <t>-</t>
        </is>
      </c>
      <c r="M7" s="53" t="inlineStr">
        <is>
          <t>Nötr çiftlerin değerini sıfır kabul etmek yerine pulları doğrudan toplama (9+5=14).</t>
        </is>
      </c>
    </row>
    <row r="8" ht="36" customHeight="1">
      <c r="A8" s="54" t="n">
        <v>4</v>
      </c>
      <c r="B8" s="55" t="inlineStr">
        <is>
          <t>Sayı Doğrusu</t>
        </is>
      </c>
      <c r="C8" s="56" t="inlineStr">
        <is>
          <t>MAT.7.1.1.2: Tam sayılarla toplama ve çıkarma hareketlerini sayı doğrusunda modeller.</t>
        </is>
      </c>
      <c r="D8" s="50" t="inlineStr">
        <is>
          <t>C</t>
        </is>
      </c>
      <c r="E8" s="54">
        <f>'Optik Giriş ve Notlar'!G42</f>
        <v/>
      </c>
      <c r="F8" s="57">
        <f>'Optik Giriş ve Notlar'!G43</f>
        <v/>
      </c>
      <c r="G8" s="33">
        <f>IF(F8&gt;=0.85, "Çok Kolay", IF(F8&gt;=0.70, "Kolay", IF(F8&gt;=0.50, "Orta Güçlükte", IF(F8&gt;=0.30, "Zor", "Çok Zor"))))</f>
        <v/>
      </c>
      <c r="H8" s="31">
        <f>COUNTIF('Optik Giriş ve Notlar'!G$12:G$41, "A")</f>
        <v/>
      </c>
      <c r="I8" s="31">
        <f>COUNTIF('Optik Giriş ve Notlar'!G$12:G$41, "B")</f>
        <v/>
      </c>
      <c r="J8" s="24">
        <f>COUNTIF('Optik Giriş ve Notlar'!G$12:G$41, "C")</f>
        <v/>
      </c>
      <c r="K8" s="31">
        <f>COUNTIF('Optik Giriş ve Notlar'!G$12:G$41, "D")</f>
        <v/>
      </c>
      <c r="L8" s="58" t="inlineStr">
        <is>
          <t>-</t>
        </is>
      </c>
      <c r="M8" s="59" t="inlineStr">
        <is>
          <t>Sola hareketi pozitif, sağa hareketi negatif kabul etme yön karmaşası.</t>
        </is>
      </c>
    </row>
    <row r="9" ht="36" customHeight="1">
      <c r="A9" s="47" t="n">
        <v>5</v>
      </c>
      <c r="B9" s="48" t="inlineStr">
        <is>
          <t>Toplamanın Özellikleri</t>
        </is>
      </c>
      <c r="C9" s="49" t="inlineStr">
        <is>
          <t>MAT.7.1.1.3: Ters eleman, etkisiz eleman ve birleşme özelliklerini cebirsel eşitliklerde kullanır.</t>
        </is>
      </c>
      <c r="D9" s="50" t="inlineStr">
        <is>
          <t>C</t>
        </is>
      </c>
      <c r="E9" s="47">
        <f>'Optik Giriş ve Notlar'!H42</f>
        <v/>
      </c>
      <c r="F9" s="51">
        <f>'Optik Giriş ve Notlar'!H43</f>
        <v/>
      </c>
      <c r="G9" s="27">
        <f>IF(F9&gt;=0.85, "Çok Kolay", IF(F9&gt;=0.70, "Kolay", IF(F9&gt;=0.50, "Orta Güçlükte", IF(F9&gt;=0.30, "Zor", "Çok Zor"))))</f>
        <v/>
      </c>
      <c r="H9" s="25">
        <f>COUNTIF('Optik Giriş ve Notlar'!H$12:H$41, "A")</f>
        <v/>
      </c>
      <c r="I9" s="25">
        <f>COUNTIF('Optik Giriş ve Notlar'!H$12:H$41, "B")</f>
        <v/>
      </c>
      <c r="J9" s="24">
        <f>COUNTIF('Optik Giriş ve Notlar'!H$12:H$41, "C")</f>
        <v/>
      </c>
      <c r="K9" s="25">
        <f>COUNTIF('Optik Giriş ve Notlar'!H$12:H$41, "D")</f>
        <v/>
      </c>
      <c r="L9" s="52" t="inlineStr">
        <is>
          <t>-</t>
        </is>
      </c>
      <c r="M9" s="53" t="inlineStr">
        <is>
          <t>Ters elemanı zıt işaretli almak yerine 1/x olarak düşünme (çarpmayla karıştırma).</t>
        </is>
      </c>
    </row>
    <row r="10" ht="36" customHeight="1">
      <c r="A10" s="54" t="n">
        <v>6</v>
      </c>
      <c r="B10" s="55" t="inlineStr">
        <is>
          <t>Mutlak Değer</t>
        </is>
      </c>
      <c r="C10" s="56" t="inlineStr">
        <is>
          <t>MAT.7.1.1.4: Mutlak değerli ifadelerin uzaklık kavramını kullanarak işlem önceliğini uygular.</t>
        </is>
      </c>
      <c r="D10" s="50" t="inlineStr">
        <is>
          <t>C</t>
        </is>
      </c>
      <c r="E10" s="54">
        <f>'Optik Giriş ve Notlar'!I42</f>
        <v/>
      </c>
      <c r="F10" s="57">
        <f>'Optik Giriş ve Notlar'!I43</f>
        <v/>
      </c>
      <c r="G10" s="33">
        <f>IF(F10&gt;=0.85, "Çok Kolay", IF(F10&gt;=0.70, "Kolay", IF(F10&gt;=0.50, "Orta Güçlükte", IF(F10&gt;=0.30, "Zor", "Çok Zor"))))</f>
        <v/>
      </c>
      <c r="H10" s="31">
        <f>COUNTIF('Optik Giriş ve Notlar'!I$12:I$41, "A")</f>
        <v/>
      </c>
      <c r="I10" s="31">
        <f>COUNTIF('Optik Giriş ve Notlar'!I$12:I$41, "B")</f>
        <v/>
      </c>
      <c r="J10" s="24">
        <f>COUNTIF('Optik Giriş ve Notlar'!I$12:I$41, "C")</f>
        <v/>
      </c>
      <c r="K10" s="31">
        <f>COUNTIF('Optik Giriş ve Notlar'!I$12:I$41, "D")</f>
        <v/>
      </c>
      <c r="L10" s="58" t="inlineStr">
        <is>
          <t>-</t>
        </is>
      </c>
      <c r="M10" s="59" t="inlineStr">
        <is>
          <t>Mutlak değer dışına negatif sayıyı yine negatif olarak çıkarma hatası.</t>
        </is>
      </c>
    </row>
    <row r="11" ht="36" customHeight="1">
      <c r="A11" s="47" t="n">
        <v>7</v>
      </c>
      <c r="B11" s="48" t="inlineStr">
        <is>
          <t>Sıcaklık Farkı</t>
        </is>
      </c>
      <c r="C11" s="49" t="inlineStr">
        <is>
          <t>MAT.7.1.1.5: Negatif ve pozitif hava sıcaklıkları arasındaki farkı çıkarma işlemiyle modeller.</t>
        </is>
      </c>
      <c r="D11" s="50" t="inlineStr">
        <is>
          <t>C</t>
        </is>
      </c>
      <c r="E11" s="47">
        <f>'Optik Giriş ve Notlar'!J42</f>
        <v/>
      </c>
      <c r="F11" s="51">
        <f>'Optik Giriş ve Notlar'!J43</f>
        <v/>
      </c>
      <c r="G11" s="27">
        <f>IF(F11&gt;=0.85, "Çok Kolay", IF(F11&gt;=0.70, "Kolay", IF(F11&gt;=0.50, "Orta Güçlükte", IF(F11&gt;=0.30, "Zor", "Çok Zor"))))</f>
        <v/>
      </c>
      <c r="H11" s="25">
        <f>COUNTIF('Optik Giriş ve Notlar'!J$12:J$41, "A")</f>
        <v/>
      </c>
      <c r="I11" s="25">
        <f>COUNTIF('Optik Giriş ve Notlar'!J$12:J$41, "B")</f>
        <v/>
      </c>
      <c r="J11" s="24">
        <f>COUNTIF('Optik Giriş ve Notlar'!J$12:J$41, "C")</f>
        <v/>
      </c>
      <c r="K11" s="25">
        <f>COUNTIF('Optik Giriş ve Notlar'!J$12:J$41, "D")</f>
        <v/>
      </c>
      <c r="L11" s="52" t="inlineStr">
        <is>
          <t>B</t>
        </is>
      </c>
      <c r="M11" s="53" t="inlineStr">
        <is>
          <t>Farkı bulurken 6-18=-12 hesaplayıp sıfırın iki yanındaki mesafeyi göz ardı etme.</t>
        </is>
      </c>
    </row>
    <row r="12" ht="36" customHeight="1">
      <c r="A12" s="54" t="n">
        <v>8</v>
      </c>
      <c r="B12" s="55" t="inlineStr">
        <is>
          <t>Rakım ve Kot Farkı</t>
        </is>
      </c>
      <c r="C12" s="56" t="inlineStr">
        <is>
          <t>MAT.7.1.1.5: Deniz seviyesinin altı ve üstü arasındaki düşey mesafeyi tam sayılarla çözümler.</t>
        </is>
      </c>
      <c r="D12" s="50" t="inlineStr">
        <is>
          <t>C</t>
        </is>
      </c>
      <c r="E12" s="54">
        <f>'Optik Giriş ve Notlar'!K42</f>
        <v/>
      </c>
      <c r="F12" s="57">
        <f>'Optik Giriş ve Notlar'!K43</f>
        <v/>
      </c>
      <c r="G12" s="33">
        <f>IF(F12&gt;=0.85, "Çok Kolay", IF(F12&gt;=0.70, "Kolay", IF(F12&gt;=0.50, "Orta Güçlükte", IF(F12&gt;=0.30, "Zor", "Çok Zor"))))</f>
        <v/>
      </c>
      <c r="H12" s="31">
        <f>COUNTIF('Optik Giriş ve Notlar'!K$12:K$41, "A")</f>
        <v/>
      </c>
      <c r="I12" s="31">
        <f>COUNTIF('Optik Giriş ve Notlar'!K$12:K$41, "B")</f>
        <v/>
      </c>
      <c r="J12" s="24">
        <f>COUNTIF('Optik Giriş ve Notlar'!K$12:K$41, "C")</f>
        <v/>
      </c>
      <c r="K12" s="31">
        <f>COUNTIF('Optik Giriş ve Notlar'!K$12:K$41, "D")</f>
        <v/>
      </c>
      <c r="L12" s="58" t="inlineStr">
        <is>
          <t>-</t>
        </is>
      </c>
      <c r="M12" s="59" t="inlineStr">
        <is>
          <t>320'den 50'yi doğrudan çıkararak 270 bulma (negatif kotu toplamama yanılgısı).</t>
        </is>
      </c>
    </row>
    <row r="13" ht="36" customHeight="1">
      <c r="A13" s="47" t="n">
        <v>9</v>
      </c>
      <c r="B13" s="48" t="inlineStr">
        <is>
          <t>Finansal Bakiye</t>
        </is>
      </c>
      <c r="C13" s="49" t="inlineStr">
        <is>
          <t>MAT.7.1.1.6: Banka borç, yatırılan para ve fatura akışını tam sayı toplama-çıkarmasıyla yönetir.</t>
        </is>
      </c>
      <c r="D13" s="50" t="inlineStr">
        <is>
          <t>A</t>
        </is>
      </c>
      <c r="E13" s="47">
        <f>'Optik Giriş ve Notlar'!L42</f>
        <v/>
      </c>
      <c r="F13" s="51">
        <f>'Optik Giriş ve Notlar'!L43</f>
        <v/>
      </c>
      <c r="G13" s="27">
        <f>IF(F13&gt;=0.85, "Çok Kolay", IF(F13&gt;=0.70, "Kolay", IF(F13&gt;=0.50, "Orta Güçlükte", IF(F13&gt;=0.30, "Zor", "Çok Zor"))))</f>
        <v/>
      </c>
      <c r="H13" s="24">
        <f>COUNTIF('Optik Giriş ve Notlar'!L$12:L$41, "A")</f>
        <v/>
      </c>
      <c r="I13" s="25">
        <f>COUNTIF('Optik Giriş ve Notlar'!L$12:L$41, "B")</f>
        <v/>
      </c>
      <c r="J13" s="25">
        <f>COUNTIF('Optik Giriş ve Notlar'!L$12:L$41, "C")</f>
        <v/>
      </c>
      <c r="K13" s="25">
        <f>COUNTIF('Optik Giriş ve Notlar'!L$12:L$41, "D")</f>
        <v/>
      </c>
      <c r="L13" s="52" t="inlineStr">
        <is>
          <t>B</t>
        </is>
      </c>
      <c r="M13" s="53" t="inlineStr">
        <is>
          <t>Borç miktarını pozitif para gibi ekleyip toplam bakiye hesabı yapma.</t>
        </is>
      </c>
    </row>
    <row r="14" ht="36" customHeight="1">
      <c r="A14" s="54" t="n">
        <v>10</v>
      </c>
      <c r="B14" s="55" t="inlineStr">
        <is>
          <t>Parantezli İşlemler</t>
        </is>
      </c>
      <c r="C14" s="56" t="inlineStr">
        <is>
          <t>MAT.7.1.1.7: Köşeli ve yay parantez içeren çok adımlı tam sayı işlemlerini sonuçlandırır.</t>
        </is>
      </c>
      <c r="D14" s="50" t="inlineStr">
        <is>
          <t>A</t>
        </is>
      </c>
      <c r="E14" s="54">
        <f>'Optik Giriş ve Notlar'!M42</f>
        <v/>
      </c>
      <c r="F14" s="57">
        <f>'Optik Giriş ve Notlar'!M43</f>
        <v/>
      </c>
      <c r="G14" s="33">
        <f>IF(F14&gt;=0.85, "Çok Kolay", IF(F14&gt;=0.70, "Kolay", IF(F14&gt;=0.50, "Orta Güçlükte", IF(F14&gt;=0.30, "Zor", "Çok Zor"))))</f>
        <v/>
      </c>
      <c r="H14" s="24">
        <f>COUNTIF('Optik Giriş ve Notlar'!M$12:M$41, "A")</f>
        <v/>
      </c>
      <c r="I14" s="31">
        <f>COUNTIF('Optik Giriş ve Notlar'!M$12:M$41, "B")</f>
        <v/>
      </c>
      <c r="J14" s="31">
        <f>COUNTIF('Optik Giriş ve Notlar'!M$12:M$41, "C")</f>
        <v/>
      </c>
      <c r="K14" s="31">
        <f>COUNTIF('Optik Giriş ve Notlar'!M$12:M$41, "D")</f>
        <v/>
      </c>
      <c r="L14" s="58" t="inlineStr">
        <is>
          <t>-</t>
        </is>
      </c>
      <c r="M14" s="59" t="inlineStr">
        <is>
          <t>Parantez içi işaret dönüşümlerinde hata yaparak -11 yerine +11 bulma.</t>
        </is>
      </c>
    </row>
    <row r="15" ht="36" customHeight="1">
      <c r="A15" s="47" t="n">
        <v>11</v>
      </c>
      <c r="B15" s="48" t="inlineStr">
        <is>
          <t>Asansör Problemi</t>
        </is>
      </c>
      <c r="C15" s="49" t="inlineStr">
        <is>
          <t>MAT.7.1.1.8: Zemin altı ve zemin üstü kat hareketlerini tam sayı yönleriyle eşleştirir.</t>
        </is>
      </c>
      <c r="D15" s="50" t="inlineStr">
        <is>
          <t>C</t>
        </is>
      </c>
      <c r="E15" s="47">
        <f>'Optik Giriş ve Notlar'!N42</f>
        <v/>
      </c>
      <c r="F15" s="51">
        <f>'Optik Giriş ve Notlar'!N43</f>
        <v/>
      </c>
      <c r="G15" s="27">
        <f>IF(F15&gt;=0.85, "Çok Kolay", IF(F15&gt;=0.70, "Kolay", IF(F15&gt;=0.50, "Orta Güçlükte", IF(F15&gt;=0.30, "Zor", "Çok Zor"))))</f>
        <v/>
      </c>
      <c r="H15" s="25">
        <f>COUNTIF('Optik Giriş ve Notlar'!N$12:N$41, "A")</f>
        <v/>
      </c>
      <c r="I15" s="25">
        <f>COUNTIF('Optik Giriş ve Notlar'!N$12:N$41, "B")</f>
        <v/>
      </c>
      <c r="J15" s="24">
        <f>COUNTIF('Optik Giriş ve Notlar'!N$12:N$41, "C")</f>
        <v/>
      </c>
      <c r="K15" s="25">
        <f>COUNTIF('Optik Giriş ve Notlar'!N$12:N$41, "D")</f>
        <v/>
      </c>
      <c r="L15" s="52" t="inlineStr">
        <is>
          <t>A</t>
        </is>
      </c>
      <c r="M15" s="53" t="inlineStr">
        <is>
          <t>Zemin kat 0'ı atlayarak -1'den sonra doğrudan +1'e geçip basamak kaydırma.</t>
        </is>
      </c>
    </row>
    <row r="16" ht="36" customHeight="1">
      <c r="A16" s="54" t="n">
        <v>12</v>
      </c>
      <c r="B16" s="55" t="inlineStr">
        <is>
          <t>Mantık Muhakeme</t>
        </is>
      </c>
      <c r="C16" s="56" t="inlineStr">
        <is>
          <t>MAT.7.1.1.9: İki bilinmeyenli işlem sonucunu çıkararak cebirsel farkı belirler.</t>
        </is>
      </c>
      <c r="D16" s="50" t="inlineStr">
        <is>
          <t>D</t>
        </is>
      </c>
      <c r="E16" s="54">
        <f>'Optik Giriş ve Notlar'!O42</f>
        <v/>
      </c>
      <c r="F16" s="57">
        <f>'Optik Giriş ve Notlar'!O43</f>
        <v/>
      </c>
      <c r="G16" s="33">
        <f>IF(F16&gt;=0.85, "Çok Kolay", IF(F16&gt;=0.70, "Kolay", IF(F16&gt;=0.50, "Orta Güçlükte", IF(F16&gt;=0.30, "Zor", "Çok Zor"))))</f>
        <v/>
      </c>
      <c r="H16" s="31">
        <f>COUNTIF('Optik Giriş ve Notlar'!O$12:O$41, "A")</f>
        <v/>
      </c>
      <c r="I16" s="31">
        <f>COUNTIF('Optik Giriş ve Notlar'!O$12:O$41, "B")</f>
        <v/>
      </c>
      <c r="J16" s="31">
        <f>COUNTIF('Optik Giriş ve Notlar'!O$12:O$41, "C")</f>
        <v/>
      </c>
      <c r="K16" s="24">
        <f>COUNTIF('Optik Giriş ve Notlar'!O$12:O$41, "D")</f>
        <v/>
      </c>
      <c r="L16" s="58" t="inlineStr">
        <is>
          <t>D</t>
        </is>
      </c>
      <c r="M16" s="59" t="inlineStr">
        <is>
          <t>8 - (-18) işleminde iki eksinin artıya dönüştüğünü unutarak 8-18=-10 bulma.</t>
        </is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ALPARSLAN ORTAOKULU MATEMATİK ZÜMRESİ</t>
        </is>
      </c>
    </row>
    <row r="2" ht="20" customHeight="1">
      <c r="A2" s="60" t="inlineStr">
        <is>
          <t>1. HAFTA ÇALIŞMA KAĞIDI SÜREÇ DEĞERLENDİRME VE TELAFİ EYLEM TUTANAĞI</t>
        </is>
      </c>
    </row>
    <row r="4" ht="18" customHeight="1">
      <c r="B4" s="61" t="inlineStr">
        <is>
          <t>Ders Adı:</t>
        </is>
      </c>
      <c r="C4" s="62" t="inlineStr">
        <is>
          <t>Matematik (7. Sınıf)</t>
        </is>
      </c>
      <c r="E4" s="61" t="inlineStr">
        <is>
          <t>Uygulama Sınıfı:</t>
        </is>
      </c>
      <c r="F4" s="62" t="inlineStr">
        <is>
          <t>5 / A</t>
        </is>
      </c>
    </row>
    <row r="5" ht="18" customHeight="1">
      <c r="B5" s="61" t="inlineStr">
        <is>
          <t>Ders Öğretmeni:</t>
        </is>
      </c>
      <c r="C5" s="62" t="inlineStr">
        <is>
          <t>Uğur YAŞAYAN</t>
        </is>
      </c>
      <c r="E5" s="61" t="inlineStr">
        <is>
          <t>Zümre Eş Öğretmeni:</t>
        </is>
      </c>
      <c r="F5" s="62" t="inlineStr">
        <is>
          <t>Demet GÜRHAN YAŞAYAN</t>
        </is>
      </c>
    </row>
    <row r="6" ht="18" customHeight="1">
      <c r="B6" s="61" t="inlineStr">
        <is>
          <t>Konu:</t>
        </is>
      </c>
      <c r="C6" s="62" t="inlineStr">
        <is>
          <t>Çok Basamaklı Doğal Sayılar (1. Hafta)</t>
        </is>
      </c>
      <c r="E6" s="61" t="inlineStr">
        <is>
          <t>Okul Müdürü:</t>
        </is>
      </c>
      <c r="F6" s="62" t="inlineStr">
        <is>
          <t>Mustafa ÖZKAN</t>
        </is>
      </c>
    </row>
    <row r="8" ht="20" customHeight="1">
      <c r="B8" s="63" t="inlineStr">
        <is>
          <t>🌟 1. SINIFIN ÜSTÜN BAŞARI GÖSTERDİĞİ KAZANIMLAR (TAM PEKİŞTİRİLEN ALANLAR)</t>
        </is>
      </c>
    </row>
    <row r="9" ht="16" customHeight="1">
      <c r="B9" s="64" t="inlineStr">
        <is>
          <t>• MAT.5.1.1.1 Bölük ve Basamak Değerleri (Soru 1 &amp; Soru 3):</t>
        </is>
      </c>
    </row>
    <row r="10" ht="18" customHeight="1">
      <c r="B10" s="44" t="inlineStr">
        <is>
          <t>Öğrencilerin %90'ından fazlası dokuz basamaklı sayıları sağdan sola üçerli bölüklerine ayırabilmekte ve basamak değerlerini doğru hesaplamaktadır.</t>
        </is>
      </c>
    </row>
    <row r="11" ht="16" customHeight="1">
      <c r="B11" s="64" t="inlineStr">
        <is>
          <t>• MAT.5.1.1.5 Hârizmî ve Sıfırın Rolü (Soru 5):</t>
        </is>
      </c>
    </row>
    <row r="12" ht="18" customHeight="1">
      <c r="B12" s="44" t="inlineStr">
        <is>
          <t>Onluk sistemde '0' rakamının basamak değerinin 0 olduğunu kavrama düzeyi %93 ile zirvededir.</t>
        </is>
      </c>
    </row>
    <row r="13" ht="16" customHeight="1">
      <c r="B13" s="64" t="inlineStr">
        <is>
          <t>• MAT.5.1.2.4 Çözümleme ve Sayı Birleştirme (Soru 10):</t>
        </is>
      </c>
    </row>
    <row r="14" ht="18" customHeight="1">
      <c r="B14" s="44" t="inlineStr">
        <is>
          <t>Parantezli basamak basamak çözümlenmiş sayıları birleştirip okunuşunu tespit etmede yüksek doğruluk (%93) gözlenmiştir.</t>
        </is>
      </c>
    </row>
    <row r="16" ht="20" customHeight="1">
      <c r="B16" s="65" t="inlineStr">
        <is>
          <t>⚠️ 2. ÖNCELİKLİ MÜDAHALE VE TELAFİ GEREKTİREN KAZANIMLAR (KAVRAM YANILGILARI)</t>
        </is>
      </c>
    </row>
    <row r="17" ht="16" customHeight="1">
      <c r="B17" s="66" t="inlineStr">
        <is>
          <t>• Soru 7 (TÜİK Nüfus Tablosu Analizi - Başarı: %63):</t>
        </is>
      </c>
    </row>
    <row r="18" ht="22" customHeight="1">
      <c r="B18" s="44" t="inlineStr">
        <is>
          <t>Yanılan öğrencilerin büyük kısmı B şıkkına yönelmiştir. Kocaeli nüfusunda 0'ın bulunduğu basamakları (onlar ve on binler) yüz binler basamağıyla karıştırmışlardır. Basamak tablosu eşleştirmesi tekrar edilmelidir.</t>
        </is>
      </c>
    </row>
    <row r="19" ht="16" customHeight="1">
      <c r="B19" s="66" t="inlineStr">
        <is>
          <t>• Soru 9 (Mekanik Sayaç Modelleme - Başarı: %70):</t>
        </is>
      </c>
    </row>
    <row r="20" ht="22" customHeight="1">
      <c r="B20" s="44" t="inlineStr">
        <is>
          <t>Görsel model üzerindeki sayacın binler bölüğündeki 'en küçük basamak değerli rakam' ifadesi, öğrencilerin bir kısmı tarafından 'en küçük sayı değeri' (3 yerine 5) olarak algılanmıştır.</t>
        </is>
      </c>
    </row>
    <row r="21" ht="16" customHeight="1">
      <c r="B21" s="66" t="inlineStr">
        <is>
          <t>• Soru 12 (Maarif Modeli Genelleme Önermeleri - Başarı: %67):</t>
        </is>
      </c>
    </row>
    <row r="22" ht="22" customHeight="1">
      <c r="B22" s="44" t="inlineStr">
        <is>
          <t>Öğrenciler 'Binler bölüğü 000 olduğunda yine de bin denir' ifadesini ezbere doğru kabul etmişlerdir (Örn: 5.000.012 sayısında 'beş milyon on iki' dendiğini, 'bin' denmediğini unutmuşlardır).</t>
        </is>
      </c>
    </row>
    <row r="24" ht="20" customHeight="1">
      <c r="B24" s="67" t="inlineStr">
        <is>
          <t>🚀 3. ZÜMRE KARARI VE PEDAGOJİK TELAFİ EYLEM PLANI (2. HAFTA İÇİN)</t>
        </is>
      </c>
    </row>
    <row r="25" ht="18" customHeight="1">
      <c r="B25" s="44" t="inlineStr">
        <is>
          <t>1. 2. haftanın ilk 10 dakikasında akıllı tahtada 'Sıfırlı Bölükler Canlandırması' yapılarak 000 içeren sayıların okunuşu vurgulanacaktır.</t>
        </is>
      </c>
    </row>
    <row r="26" ht="18" customHeight="1">
      <c r="B26" s="44" t="inlineStr">
        <is>
          <t>2. Mekanik sayaç ve abaküs benzeri fiziksel/dijital modellerle 'Basamak Değeri' ile 'Sayı Değeri' farkı somutlaştırılacaktır.</t>
        </is>
      </c>
    </row>
    <row r="27" ht="18" customHeight="1">
      <c r="B27" s="44" t="inlineStr">
        <is>
          <t>3. TÜİK gerçek yaşam nüfus tablosu sınıf panosuna asılacak, öğrencilerden kendi şehirlerinin bölük kartlarını hazırlamaları istenecektir.</t>
        </is>
      </c>
    </row>
    <row r="30">
      <c r="B30" s="42" t="inlineStr">
        <is>
          <t>Ders Öğretmeni</t>
        </is>
      </c>
      <c r="D30" s="42" t="inlineStr">
        <is>
          <t>Zümre Eş Öğretmeni</t>
        </is>
      </c>
      <c r="G30" s="42" t="inlineStr">
        <is>
          <t>Okul Müdürü</t>
        </is>
      </c>
    </row>
    <row r="31">
      <c r="B31" s="43" t="inlineStr">
        <is>
          <t>Uğur YAŞAYAN</t>
        </is>
      </c>
      <c r="D31" s="43" t="inlineStr">
        <is>
          <t>Demet GÜRHAN YAŞAYAN</t>
        </is>
      </c>
      <c r="G31" s="43" t="inlineStr">
        <is>
          <t>Mustafa ÖZKAN</t>
        </is>
      </c>
    </row>
    <row r="32">
      <c r="B32" s="44" t="inlineStr">
        <is>
          <t>Matematik Öğretmeni</t>
        </is>
      </c>
      <c r="D32" s="44" t="inlineStr">
        <is>
          <t>Matematik Öğretmeni</t>
        </is>
      </c>
      <c r="G32" s="44" t="inlineStr">
        <is>
          <t>Alparslan Ortaokulu Müdürü</t>
        </is>
      </c>
    </row>
    <row r="33">
      <c r="B33" s="45" t="inlineStr">
        <is>
          <t>İmza: .......................................</t>
        </is>
      </c>
      <c r="D33" s="45" t="inlineStr">
        <is>
          <t>İmza: .......................................</t>
        </is>
      </c>
      <c r="G33" s="45" t="inlineStr">
        <is>
          <t>İmza: .......................................</t>
        </is>
      </c>
    </row>
  </sheetData>
  <mergeCells count="20">
    <mergeCell ref="B9:H9"/>
    <mergeCell ref="B24:H24"/>
    <mergeCell ref="A1:H1"/>
    <mergeCell ref="B20:H20"/>
    <mergeCell ref="B26:H26"/>
    <mergeCell ref="B16:H16"/>
    <mergeCell ref="B25:H25"/>
    <mergeCell ref="B22:H22"/>
    <mergeCell ref="B18:H18"/>
    <mergeCell ref="B27:H27"/>
    <mergeCell ref="B21:H21"/>
    <mergeCell ref="A2:H2"/>
    <mergeCell ref="B12:H12"/>
    <mergeCell ref="B11:H11"/>
    <mergeCell ref="B8:H8"/>
    <mergeCell ref="B14:H14"/>
    <mergeCell ref="B17:H17"/>
    <mergeCell ref="B13:H13"/>
    <mergeCell ref="B10:H10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2026-09-13T00:49:38Z</dcterms:created>
  <dcterms:modified xmlns:dcterms="http://purl.org/dc/terms/" xmlns:xsi="http://www.w3.org/2001/XMLSchema-instance" xsi:type="dcterms:W3CDTF">2026-09-13T00:49:38Z</dcterms:modified>
</cp:coreProperties>
</file>