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276749"/>
      <sz val="8.5"/>
    </font>
    <font>
      <name val="Arial"/>
      <b val="1"/>
      <color rgb="00C53030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ALPARSLAN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Uğur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Mustafa ÖZKAN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C</t>
        </is>
      </c>
      <c r="E10" s="17" t="inlineStr">
        <is>
          <t>D</t>
        </is>
      </c>
      <c r="F10" s="17" t="inlineStr">
        <is>
          <t>A</t>
        </is>
      </c>
      <c r="G10" s="17" t="inlineStr">
        <is>
          <t>B</t>
        </is>
      </c>
      <c r="H10" s="17" t="inlineStr">
        <is>
          <t>D</t>
        </is>
      </c>
      <c r="I10" s="17" t="inlineStr">
        <is>
          <t>B</t>
        </is>
      </c>
      <c r="J10" s="17" t="inlineStr">
        <is>
          <t>C</t>
        </is>
      </c>
      <c r="K10" s="17" t="inlineStr">
        <is>
          <t>A</t>
        </is>
      </c>
      <c r="L10" s="17" t="inlineStr">
        <is>
          <t>D</t>
        </is>
      </c>
      <c r="M10" s="17" t="inlineStr">
        <is>
          <t>C</t>
        </is>
      </c>
      <c r="N10" s="17" t="inlineStr">
        <is>
          <t>B</t>
        </is>
      </c>
      <c r="O10" s="17" t="inlineStr">
        <is>
          <t>A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C</t>
        </is>
      </c>
      <c r="E12" s="23" t="inlineStr">
        <is>
          <t>D</t>
        </is>
      </c>
      <c r="F12" s="23" t="inlineStr">
        <is>
          <t>A</t>
        </is>
      </c>
      <c r="G12" s="23" t="inlineStr">
        <is>
          <t>B</t>
        </is>
      </c>
      <c r="H12" s="23" t="inlineStr">
        <is>
          <t>D</t>
        </is>
      </c>
      <c r="I12" s="23" t="inlineStr">
        <is>
          <t>B</t>
        </is>
      </c>
      <c r="J12" s="23" t="inlineStr">
        <is>
          <t>C</t>
        </is>
      </c>
      <c r="K12" s="23" t="inlineStr">
        <is>
          <t>A</t>
        </is>
      </c>
      <c r="L12" s="23" t="inlineStr">
        <is>
          <t>D</t>
        </is>
      </c>
      <c r="M12" s="23" t="inlineStr">
        <is>
          <t>C</t>
        </is>
      </c>
      <c r="N12" s="23" t="inlineStr">
        <is>
          <t>B</t>
        </is>
      </c>
      <c r="O12" s="23" t="inlineStr">
        <is>
          <t>A</t>
        </is>
      </c>
      <c r="P12" s="23">
        <f>(D12=$D$10)+(E12=$E$10)+(F12=$F$10)+(G12=$G$10)+(H12=$H$10)+(I12=$I$10)+(J12=$J$10)+(K12=$K$10)+(L12=$L$10)+(M12=$M$10)+(N12=$N$10)+(O12=$O$10)</f>
        <v/>
      </c>
      <c r="Q12" s="24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3" t="inlineStr">
        <is>
          <t>C</t>
        </is>
      </c>
      <c r="E13" s="23" t="inlineStr">
        <is>
          <t>D</t>
        </is>
      </c>
      <c r="F13" s="23" t="inlineStr">
        <is>
          <t>A</t>
        </is>
      </c>
      <c r="G13" s="23" t="inlineStr">
        <is>
          <t>B</t>
        </is>
      </c>
      <c r="H13" s="23" t="inlineStr">
        <is>
          <t>D</t>
        </is>
      </c>
      <c r="I13" s="23" t="inlineStr">
        <is>
          <t>B</t>
        </is>
      </c>
      <c r="J13" s="23" t="inlineStr">
        <is>
          <t>C</t>
        </is>
      </c>
      <c r="K13" s="23" t="inlineStr">
        <is>
          <t>A</t>
        </is>
      </c>
      <c r="L13" s="23" t="inlineStr">
        <is>
          <t>D</t>
        </is>
      </c>
      <c r="M13" s="23" t="inlineStr">
        <is>
          <t>C</t>
        </is>
      </c>
      <c r="N13" s="23" t="inlineStr">
        <is>
          <t>B</t>
        </is>
      </c>
      <c r="O13" s="23" t="inlineStr">
        <is>
          <t>A</t>
        </is>
      </c>
      <c r="P13" s="23">
        <f>(D13=$D$10)+(E13=$E$10)+(F13=$F$10)+(G13=$G$10)+(H13=$H$10)+(I13=$I$10)+(J13=$J$10)+(K13=$K$10)+(L13=$L$10)+(M13=$M$10)+(N13=$N$10)+(O13=$O$10)</f>
        <v/>
      </c>
      <c r="Q13" s="24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3" t="inlineStr">
        <is>
          <t>C</t>
        </is>
      </c>
      <c r="E14" s="23" t="inlineStr">
        <is>
          <t>D</t>
        </is>
      </c>
      <c r="F14" s="23" t="inlineStr">
        <is>
          <t>A</t>
        </is>
      </c>
      <c r="G14" s="23" t="inlineStr">
        <is>
          <t>B</t>
        </is>
      </c>
      <c r="H14" s="23" t="inlineStr">
        <is>
          <t>D</t>
        </is>
      </c>
      <c r="I14" s="23" t="inlineStr">
        <is>
          <t>B</t>
        </is>
      </c>
      <c r="J14" s="24" t="inlineStr">
        <is>
          <t>B</t>
        </is>
      </c>
      <c r="K14" s="23" t="inlineStr">
        <is>
          <t>A</t>
        </is>
      </c>
      <c r="L14" s="23" t="inlineStr">
        <is>
          <t>D</t>
        </is>
      </c>
      <c r="M14" s="23" t="inlineStr">
        <is>
          <t>C</t>
        </is>
      </c>
      <c r="N14" s="23" t="inlineStr">
        <is>
          <t>B</t>
        </is>
      </c>
      <c r="O14" s="23" t="inlineStr">
        <is>
          <t>A</t>
        </is>
      </c>
      <c r="P14" s="23">
        <f>(D14=$D$10)+(E14=$E$10)+(F14=$F$10)+(G14=$G$10)+(H14=$H$10)+(I14=$I$10)+(J14=$J$10)+(K14=$K$10)+(L14=$L$10)+(M14=$M$10)+(N14=$N$10)+(O14=$O$10)</f>
        <v/>
      </c>
      <c r="Q14" s="24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3" t="inlineStr">
        <is>
          <t>C</t>
        </is>
      </c>
      <c r="E15" s="23" t="inlineStr">
        <is>
          <t>D</t>
        </is>
      </c>
      <c r="F15" s="23" t="inlineStr">
        <is>
          <t>A</t>
        </is>
      </c>
      <c r="G15" s="23" t="inlineStr">
        <is>
          <t>B</t>
        </is>
      </c>
      <c r="H15" s="23" t="inlineStr">
        <is>
          <t>D</t>
        </is>
      </c>
      <c r="I15" s="23" t="inlineStr">
        <is>
          <t>B</t>
        </is>
      </c>
      <c r="J15" s="23" t="inlineStr">
        <is>
          <t>C</t>
        </is>
      </c>
      <c r="K15" s="23" t="inlineStr">
        <is>
          <t>A</t>
        </is>
      </c>
      <c r="L15" s="23" t="inlineStr">
        <is>
          <t>D</t>
        </is>
      </c>
      <c r="M15" s="23" t="inlineStr">
        <is>
          <t>C</t>
        </is>
      </c>
      <c r="N15" s="23" t="inlineStr">
        <is>
          <t>B</t>
        </is>
      </c>
      <c r="O15" s="24" t="inlineStr">
        <is>
          <t>D</t>
        </is>
      </c>
      <c r="P15" s="23">
        <f>(D15=$D$10)+(E15=$E$10)+(F15=$F$10)+(G15=$G$10)+(H15=$H$10)+(I15=$I$10)+(J15=$J$10)+(K15=$K$10)+(L15=$L$10)+(M15=$M$10)+(N15=$N$10)+(O15=$O$10)</f>
        <v/>
      </c>
      <c r="Q15" s="24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3" t="inlineStr">
        <is>
          <t>C</t>
        </is>
      </c>
      <c r="E16" s="24" t="inlineStr">
        <is>
          <t>A</t>
        </is>
      </c>
      <c r="F16" s="23" t="inlineStr">
        <is>
          <t>A</t>
        </is>
      </c>
      <c r="G16" s="23" t="inlineStr">
        <is>
          <t>B</t>
        </is>
      </c>
      <c r="H16" s="23" t="inlineStr">
        <is>
          <t>D</t>
        </is>
      </c>
      <c r="I16" s="23" t="inlineStr">
        <is>
          <t>B</t>
        </is>
      </c>
      <c r="J16" s="23" t="inlineStr">
        <is>
          <t>C</t>
        </is>
      </c>
      <c r="K16" s="23" t="inlineStr">
        <is>
          <t>A</t>
        </is>
      </c>
      <c r="L16" s="23" t="inlineStr">
        <is>
          <t>D</t>
        </is>
      </c>
      <c r="M16" s="23" t="inlineStr">
        <is>
          <t>C</t>
        </is>
      </c>
      <c r="N16" s="23" t="inlineStr">
        <is>
          <t>B</t>
        </is>
      </c>
      <c r="O16" s="23" t="inlineStr">
        <is>
          <t>A</t>
        </is>
      </c>
      <c r="P16" s="23">
        <f>(D16=$D$10)+(E16=$E$10)+(F16=$F$10)+(G16=$G$10)+(H16=$H$10)+(I16=$I$10)+(J16=$J$10)+(K16=$K$10)+(L16=$L$10)+(M16=$M$10)+(N16=$N$10)+(O16=$O$10)</f>
        <v/>
      </c>
      <c r="Q16" s="24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3" t="inlineStr">
        <is>
          <t>C</t>
        </is>
      </c>
      <c r="E17" s="23" t="inlineStr">
        <is>
          <t>D</t>
        </is>
      </c>
      <c r="F17" s="23" t="inlineStr">
        <is>
          <t>A</t>
        </is>
      </c>
      <c r="G17" s="23" t="inlineStr">
        <is>
          <t>B</t>
        </is>
      </c>
      <c r="H17" s="23" t="inlineStr">
        <is>
          <t>D</t>
        </is>
      </c>
      <c r="I17" s="23" t="inlineStr">
        <is>
          <t>B</t>
        </is>
      </c>
      <c r="J17" s="23" t="inlineStr">
        <is>
          <t>C</t>
        </is>
      </c>
      <c r="K17" s="23" t="inlineStr">
        <is>
          <t>A</t>
        </is>
      </c>
      <c r="L17" s="24" t="inlineStr">
        <is>
          <t>B</t>
        </is>
      </c>
      <c r="M17" s="23" t="inlineStr">
        <is>
          <t>C</t>
        </is>
      </c>
      <c r="N17" s="23" t="inlineStr">
        <is>
          <t>B</t>
        </is>
      </c>
      <c r="O17" s="23" t="inlineStr">
        <is>
          <t>A</t>
        </is>
      </c>
      <c r="P17" s="23">
        <f>(D17=$D$10)+(E17=$E$10)+(F17=$F$10)+(G17=$G$10)+(H17=$H$10)+(I17=$I$10)+(J17=$J$10)+(K17=$K$10)+(L17=$L$10)+(M17=$M$10)+(N17=$N$10)+(O17=$O$10)</f>
        <v/>
      </c>
      <c r="Q17" s="24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ÖZTÜRK</t>
        </is>
      </c>
      <c r="D18" s="23" t="inlineStr">
        <is>
          <t>C</t>
        </is>
      </c>
      <c r="E18" s="23" t="inlineStr">
        <is>
          <t>D</t>
        </is>
      </c>
      <c r="F18" s="23" t="inlineStr">
        <is>
          <t>A</t>
        </is>
      </c>
      <c r="G18" s="23" t="inlineStr">
        <is>
          <t>B</t>
        </is>
      </c>
      <c r="H18" s="23" t="inlineStr">
        <is>
          <t>D</t>
        </is>
      </c>
      <c r="I18" s="23" t="inlineStr">
        <is>
          <t>B</t>
        </is>
      </c>
      <c r="J18" s="23" t="inlineStr">
        <is>
          <t>C</t>
        </is>
      </c>
      <c r="K18" s="23" t="inlineStr">
        <is>
          <t>A</t>
        </is>
      </c>
      <c r="L18" s="23" t="inlineStr">
        <is>
          <t>D</t>
        </is>
      </c>
      <c r="M18" s="23" t="inlineStr">
        <is>
          <t>C</t>
        </is>
      </c>
      <c r="N18" s="23" t="inlineStr">
        <is>
          <t>B</t>
        </is>
      </c>
      <c r="O18" s="23" t="inlineStr">
        <is>
          <t>A</t>
        </is>
      </c>
      <c r="P18" s="23">
        <f>(D18=$D$10)+(E18=$E$10)+(F18=$F$10)+(G18=$G$10)+(H18=$H$10)+(I18=$I$10)+(J18=$J$10)+(K18=$K$10)+(L18=$L$10)+(M18=$M$10)+(N18=$N$10)+(O18=$O$10)</f>
        <v/>
      </c>
      <c r="Q18" s="24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141</v>
      </c>
      <c r="C19" s="30" t="inlineStr">
        <is>
          <t>Emre ŞAHİN</t>
        </is>
      </c>
      <c r="D19" s="23" t="inlineStr">
        <is>
          <t>C</t>
        </is>
      </c>
      <c r="E19" s="23" t="inlineStr">
        <is>
          <t>D</t>
        </is>
      </c>
      <c r="F19" s="24" t="inlineStr">
        <is>
          <t>B</t>
        </is>
      </c>
      <c r="G19" s="23" t="inlineStr">
        <is>
          <t>B</t>
        </is>
      </c>
      <c r="H19" s="23" t="inlineStr">
        <is>
          <t>D</t>
        </is>
      </c>
      <c r="I19" s="23" t="inlineStr">
        <is>
          <t>B</t>
        </is>
      </c>
      <c r="J19" s="23" t="inlineStr">
        <is>
          <t>C</t>
        </is>
      </c>
      <c r="K19" s="23" t="inlineStr">
        <is>
          <t>A</t>
        </is>
      </c>
      <c r="L19" s="23" t="inlineStr">
        <is>
          <t>D</t>
        </is>
      </c>
      <c r="M19" s="24" t="inlineStr">
        <is>
          <t>A</t>
        </is>
      </c>
      <c r="N19" s="23" t="inlineStr">
        <is>
          <t>B</t>
        </is>
      </c>
      <c r="O19" s="23" t="inlineStr">
        <is>
          <t>A</t>
        </is>
      </c>
      <c r="P19" s="23">
        <f>(D19=$D$10)+(E19=$E$10)+(F19=$F$10)+(G19=$G$10)+(H19=$H$10)+(I19=$I$10)+(J19=$J$10)+(K19=$K$10)+(L19=$L$10)+(M19=$M$10)+(N19=$N$10)+(O19=$O$10)</f>
        <v/>
      </c>
      <c r="Q19" s="24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147</v>
      </c>
      <c r="C20" s="22" t="inlineStr">
        <is>
          <t>Esra KOÇ</t>
        </is>
      </c>
      <c r="D20" s="23" t="inlineStr">
        <is>
          <t>C</t>
        </is>
      </c>
      <c r="E20" s="23" t="inlineStr">
        <is>
          <t>D</t>
        </is>
      </c>
      <c r="F20" s="23" t="inlineStr">
        <is>
          <t>A</t>
        </is>
      </c>
      <c r="G20" s="23" t="inlineStr">
        <is>
          <t>B</t>
        </is>
      </c>
      <c r="H20" s="23" t="inlineStr">
        <is>
          <t>D</t>
        </is>
      </c>
      <c r="I20" s="23" t="inlineStr">
        <is>
          <t>B</t>
        </is>
      </c>
      <c r="J20" s="23" t="inlineStr">
        <is>
          <t>C</t>
        </is>
      </c>
      <c r="K20" s="23" t="inlineStr">
        <is>
          <t>A</t>
        </is>
      </c>
      <c r="L20" s="23" t="inlineStr">
        <is>
          <t>D</t>
        </is>
      </c>
      <c r="M20" s="23" t="inlineStr">
        <is>
          <t>C</t>
        </is>
      </c>
      <c r="N20" s="23" t="inlineStr">
        <is>
          <t>B</t>
        </is>
      </c>
      <c r="O20" s="23" t="inlineStr">
        <is>
          <t>A</t>
        </is>
      </c>
      <c r="P20" s="23">
        <f>(D20=$D$10)+(E20=$E$10)+(F20=$F$10)+(G20=$G$10)+(H20=$H$10)+(I20=$I$10)+(J20=$J$10)+(K20=$K$10)+(L20=$L$10)+(M20=$M$10)+(N20=$N$10)+(O20=$O$10)</f>
        <v/>
      </c>
      <c r="Q20" s="24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153</v>
      </c>
      <c r="C21" s="30" t="inlineStr">
        <is>
          <t>Furkan AYDIN</t>
        </is>
      </c>
      <c r="D21" s="24" t="inlineStr">
        <is>
          <t>A</t>
        </is>
      </c>
      <c r="E21" s="23" t="inlineStr">
        <is>
          <t>D</t>
        </is>
      </c>
      <c r="F21" s="23" t="inlineStr">
        <is>
          <t>A</t>
        </is>
      </c>
      <c r="G21" s="23" t="inlineStr">
        <is>
          <t>B</t>
        </is>
      </c>
      <c r="H21" s="24" t="inlineStr">
        <is>
          <t>B</t>
        </is>
      </c>
      <c r="I21" s="23" t="inlineStr">
        <is>
          <t>B</t>
        </is>
      </c>
      <c r="J21" s="23" t="inlineStr">
        <is>
          <t>C</t>
        </is>
      </c>
      <c r="K21" s="23" t="inlineStr">
        <is>
          <t>A</t>
        </is>
      </c>
      <c r="L21" s="23" t="inlineStr">
        <is>
          <t>D</t>
        </is>
      </c>
      <c r="M21" s="23" t="inlineStr">
        <is>
          <t>C</t>
        </is>
      </c>
      <c r="N21" s="24" t="inlineStr">
        <is>
          <t>A</t>
        </is>
      </c>
      <c r="O21" s="24" t="inlineStr">
        <is>
          <t>D</t>
        </is>
      </c>
      <c r="P21" s="23">
        <f>(D21=$D$10)+(E21=$E$10)+(F21=$F$10)+(G21=$G$10)+(H21=$H$10)+(I21=$I$10)+(J21=$J$10)+(K21=$K$10)+(L21=$L$10)+(M21=$M$10)+(N21=$N$10)+(O21=$O$10)</f>
        <v/>
      </c>
      <c r="Q21" s="24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158</v>
      </c>
      <c r="C22" s="22" t="inlineStr">
        <is>
          <t>Gamze YILMAZ</t>
        </is>
      </c>
      <c r="D22" s="23" t="inlineStr">
        <is>
          <t>C</t>
        </is>
      </c>
      <c r="E22" s="23" t="inlineStr">
        <is>
          <t>D</t>
        </is>
      </c>
      <c r="F22" s="23" t="inlineStr">
        <is>
          <t>A</t>
        </is>
      </c>
      <c r="G22" s="23" t="inlineStr">
        <is>
          <t>B</t>
        </is>
      </c>
      <c r="H22" s="23" t="inlineStr">
        <is>
          <t>D</t>
        </is>
      </c>
      <c r="I22" s="23" t="inlineStr">
        <is>
          <t>B</t>
        </is>
      </c>
      <c r="J22" s="23" t="inlineStr">
        <is>
          <t>C</t>
        </is>
      </c>
      <c r="K22" s="23" t="inlineStr">
        <is>
          <t>A</t>
        </is>
      </c>
      <c r="L22" s="23" t="inlineStr">
        <is>
          <t>D</t>
        </is>
      </c>
      <c r="M22" s="23" t="inlineStr">
        <is>
          <t>C</t>
        </is>
      </c>
      <c r="N22" s="23" t="inlineStr">
        <is>
          <t>B</t>
        </is>
      </c>
      <c r="O22" s="23" t="inlineStr">
        <is>
          <t>A</t>
        </is>
      </c>
      <c r="P22" s="23">
        <f>(D22=$D$10)+(E22=$E$10)+(F22=$F$10)+(G22=$G$10)+(H22=$H$10)+(I22=$I$10)+(J22=$J$10)+(K22=$K$10)+(L22=$L$10)+(M22=$M$10)+(N22=$N$10)+(O22=$O$10)</f>
        <v/>
      </c>
      <c r="Q22" s="24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164</v>
      </c>
      <c r="C23" s="30" t="inlineStr">
        <is>
          <t>Hakan KURT</t>
        </is>
      </c>
      <c r="D23" s="23" t="inlineStr">
        <is>
          <t>C</t>
        </is>
      </c>
      <c r="E23" s="23" t="inlineStr">
        <is>
          <t>D</t>
        </is>
      </c>
      <c r="F23" s="23" t="inlineStr">
        <is>
          <t>A</t>
        </is>
      </c>
      <c r="G23" s="24" t="inlineStr">
        <is>
          <t>A</t>
        </is>
      </c>
      <c r="H23" s="23" t="inlineStr">
        <is>
          <t>D</t>
        </is>
      </c>
      <c r="I23" s="23" t="inlineStr">
        <is>
          <t>B</t>
        </is>
      </c>
      <c r="J23" s="23" t="inlineStr">
        <is>
          <t>C</t>
        </is>
      </c>
      <c r="K23" s="24" t="inlineStr">
        <is>
          <t>B</t>
        </is>
      </c>
      <c r="L23" s="23" t="inlineStr">
        <is>
          <t>D</t>
        </is>
      </c>
      <c r="M23" s="23" t="inlineStr">
        <is>
          <t>C</t>
        </is>
      </c>
      <c r="N23" s="23" t="inlineStr">
        <is>
          <t>B</t>
        </is>
      </c>
      <c r="O23" s="23" t="inlineStr">
        <is>
          <t>A</t>
        </is>
      </c>
      <c r="P23" s="23">
        <f>(D23=$D$10)+(E23=$E$10)+(F23=$F$10)+(G23=$G$10)+(H23=$H$10)+(I23=$I$10)+(J23=$J$10)+(K23=$K$10)+(L23=$L$10)+(M23=$M$10)+(N23=$N$10)+(O23=$O$10)</f>
        <v/>
      </c>
      <c r="Q23" s="24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170</v>
      </c>
      <c r="C24" s="22" t="inlineStr">
        <is>
          <t>İrem DOĞAN</t>
        </is>
      </c>
      <c r="D24" s="23" t="inlineStr">
        <is>
          <t>C</t>
        </is>
      </c>
      <c r="E24" s="23" t="inlineStr">
        <is>
          <t>D</t>
        </is>
      </c>
      <c r="F24" s="23" t="inlineStr">
        <is>
          <t>A</t>
        </is>
      </c>
      <c r="G24" s="23" t="inlineStr">
        <is>
          <t>B</t>
        </is>
      </c>
      <c r="H24" s="23" t="inlineStr">
        <is>
          <t>D</t>
        </is>
      </c>
      <c r="I24" s="23" t="inlineStr">
        <is>
          <t>B</t>
        </is>
      </c>
      <c r="J24" s="23" t="inlineStr">
        <is>
          <t>C</t>
        </is>
      </c>
      <c r="K24" s="23" t="inlineStr">
        <is>
          <t>A</t>
        </is>
      </c>
      <c r="L24" s="23" t="inlineStr">
        <is>
          <t>D</t>
        </is>
      </c>
      <c r="M24" s="23" t="inlineStr">
        <is>
          <t>C</t>
        </is>
      </c>
      <c r="N24" s="23" t="inlineStr">
        <is>
          <t>B</t>
        </is>
      </c>
      <c r="O24" s="23" t="inlineStr">
        <is>
          <t>A</t>
        </is>
      </c>
      <c r="P24" s="23">
        <f>(D24=$D$10)+(E24=$E$10)+(F24=$F$10)+(G24=$G$10)+(H24=$H$10)+(I24=$I$10)+(J24=$J$10)+(K24=$K$10)+(L24=$L$10)+(M24=$M$10)+(N24=$N$10)+(O24=$O$10)</f>
        <v/>
      </c>
      <c r="Q24" s="24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175</v>
      </c>
      <c r="C25" s="30" t="inlineStr">
        <is>
          <t>Kerem YILDIZ</t>
        </is>
      </c>
      <c r="D25" s="23" t="inlineStr">
        <is>
          <t>C</t>
        </is>
      </c>
      <c r="E25" s="23" t="inlineStr">
        <is>
          <t>D</t>
        </is>
      </c>
      <c r="F25" s="23" t="inlineStr">
        <is>
          <t>A</t>
        </is>
      </c>
      <c r="G25" s="23" t="inlineStr">
        <is>
          <t>B</t>
        </is>
      </c>
      <c r="H25" s="23" t="inlineStr">
        <is>
          <t>D</t>
        </is>
      </c>
      <c r="I25" s="24" t="inlineStr">
        <is>
          <t>A</t>
        </is>
      </c>
      <c r="J25" s="23" t="inlineStr">
        <is>
          <t>C</t>
        </is>
      </c>
      <c r="K25" s="23" t="inlineStr">
        <is>
          <t>A</t>
        </is>
      </c>
      <c r="L25" s="23" t="inlineStr">
        <is>
          <t>D</t>
        </is>
      </c>
      <c r="M25" s="23" t="inlineStr">
        <is>
          <t>C</t>
        </is>
      </c>
      <c r="N25" s="23" t="inlineStr">
        <is>
          <t>B</t>
        </is>
      </c>
      <c r="O25" s="23" t="inlineStr">
        <is>
          <t>A</t>
        </is>
      </c>
      <c r="P25" s="23">
        <f>(D25=$D$10)+(E25=$E$10)+(F25=$F$10)+(G25=$G$10)+(H25=$H$10)+(I25=$I$10)+(J25=$J$10)+(K25=$K$10)+(L25=$L$10)+(M25=$M$10)+(N25=$N$10)+(O25=$O$10)</f>
        <v/>
      </c>
      <c r="Q25" s="24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181</v>
      </c>
      <c r="C26" s="22" t="inlineStr">
        <is>
          <t>Leyla ASLAN</t>
        </is>
      </c>
      <c r="D26" s="23" t="inlineStr">
        <is>
          <t>C</t>
        </is>
      </c>
      <c r="E26" s="23" t="inlineStr">
        <is>
          <t>D</t>
        </is>
      </c>
      <c r="F26" s="23" t="inlineStr">
        <is>
          <t>A</t>
        </is>
      </c>
      <c r="G26" s="23" t="inlineStr">
        <is>
          <t>B</t>
        </is>
      </c>
      <c r="H26" s="23" t="inlineStr">
        <is>
          <t>D</t>
        </is>
      </c>
      <c r="I26" s="23" t="inlineStr">
        <is>
          <t>B</t>
        </is>
      </c>
      <c r="J26" s="23" t="inlineStr">
        <is>
          <t>C</t>
        </is>
      </c>
      <c r="K26" s="23" t="inlineStr">
        <is>
          <t>A</t>
        </is>
      </c>
      <c r="L26" s="23" t="inlineStr">
        <is>
          <t>D</t>
        </is>
      </c>
      <c r="M26" s="23" t="inlineStr">
        <is>
          <t>C</t>
        </is>
      </c>
      <c r="N26" s="23" t="inlineStr">
        <is>
          <t>B</t>
        </is>
      </c>
      <c r="O26" s="23" t="inlineStr">
        <is>
          <t>A</t>
        </is>
      </c>
      <c r="P26" s="23">
        <f>(D26=$D$10)+(E26=$E$10)+(F26=$F$10)+(G26=$G$10)+(H26=$H$10)+(I26=$I$10)+(J26=$J$10)+(K26=$K$10)+(L26=$L$10)+(M26=$M$10)+(N26=$N$10)+(O26=$O$10)</f>
        <v/>
      </c>
      <c r="Q26" s="24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187</v>
      </c>
      <c r="C27" s="30" t="inlineStr">
        <is>
          <t>Mehmet GÜLER</t>
        </is>
      </c>
      <c r="D27" s="23" t="inlineStr">
        <is>
          <t>C</t>
        </is>
      </c>
      <c r="E27" s="23" t="inlineStr">
        <is>
          <t>D</t>
        </is>
      </c>
      <c r="F27" s="23" t="inlineStr">
        <is>
          <t>A</t>
        </is>
      </c>
      <c r="G27" s="23" t="inlineStr">
        <is>
          <t>B</t>
        </is>
      </c>
      <c r="H27" s="23" t="inlineStr">
        <is>
          <t>D</t>
        </is>
      </c>
      <c r="I27" s="23" t="inlineStr">
        <is>
          <t>B</t>
        </is>
      </c>
      <c r="J27" s="24" t="inlineStr">
        <is>
          <t>B</t>
        </is>
      </c>
      <c r="K27" s="23" t="inlineStr">
        <is>
          <t>A</t>
        </is>
      </c>
      <c r="L27" s="24" t="inlineStr">
        <is>
          <t>B</t>
        </is>
      </c>
      <c r="M27" s="23" t="inlineStr">
        <is>
          <t>C</t>
        </is>
      </c>
      <c r="N27" s="23" t="inlineStr">
        <is>
          <t>B</t>
        </is>
      </c>
      <c r="O27" s="23" t="inlineStr">
        <is>
          <t>A</t>
        </is>
      </c>
      <c r="P27" s="23">
        <f>(D27=$D$10)+(E27=$E$10)+(F27=$F$10)+(G27=$G$10)+(H27=$H$10)+(I27=$I$10)+(J27=$J$10)+(K27=$K$10)+(L27=$L$10)+(M27=$M$10)+(N27=$N$10)+(O27=$O$10)</f>
        <v/>
      </c>
      <c r="Q27" s="24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192</v>
      </c>
      <c r="C28" s="22" t="inlineStr">
        <is>
          <t>Merve ÖZDEMİR</t>
        </is>
      </c>
      <c r="D28" s="23" t="inlineStr">
        <is>
          <t>C</t>
        </is>
      </c>
      <c r="E28" s="23" t="inlineStr">
        <is>
          <t>D</t>
        </is>
      </c>
      <c r="F28" s="23" t="inlineStr">
        <is>
          <t>A</t>
        </is>
      </c>
      <c r="G28" s="23" t="inlineStr">
        <is>
          <t>B</t>
        </is>
      </c>
      <c r="H28" s="23" t="inlineStr">
        <is>
          <t>D</t>
        </is>
      </c>
      <c r="I28" s="23" t="inlineStr">
        <is>
          <t>B</t>
        </is>
      </c>
      <c r="J28" s="23" t="inlineStr">
        <is>
          <t>C</t>
        </is>
      </c>
      <c r="K28" s="23" t="inlineStr">
        <is>
          <t>A</t>
        </is>
      </c>
      <c r="L28" s="23" t="inlineStr">
        <is>
          <t>D</t>
        </is>
      </c>
      <c r="M28" s="23" t="inlineStr">
        <is>
          <t>C</t>
        </is>
      </c>
      <c r="N28" s="23" t="inlineStr">
        <is>
          <t>B</t>
        </is>
      </c>
      <c r="O28" s="23" t="inlineStr">
        <is>
          <t>A</t>
        </is>
      </c>
      <c r="P28" s="23">
        <f>(D28=$D$10)+(E28=$E$10)+(F28=$F$10)+(G28=$G$10)+(H28=$H$10)+(I28=$I$10)+(J28=$J$10)+(K28=$K$10)+(L28=$L$10)+(M28=$M$10)+(N28=$N$10)+(O28=$O$10)</f>
        <v/>
      </c>
      <c r="Q28" s="24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198</v>
      </c>
      <c r="C29" s="30" t="inlineStr">
        <is>
          <t>Murat ÇETİN</t>
        </is>
      </c>
      <c r="D29" s="23" t="inlineStr">
        <is>
          <t>C</t>
        </is>
      </c>
      <c r="E29" s="24" t="inlineStr">
        <is>
          <t>A</t>
        </is>
      </c>
      <c r="F29" s="23" t="inlineStr">
        <is>
          <t>A</t>
        </is>
      </c>
      <c r="G29" s="23" t="inlineStr">
        <is>
          <t>B</t>
        </is>
      </c>
      <c r="H29" s="23" t="inlineStr">
        <is>
          <t>D</t>
        </is>
      </c>
      <c r="I29" s="23" t="inlineStr">
        <is>
          <t>B</t>
        </is>
      </c>
      <c r="J29" s="23" t="inlineStr">
        <is>
          <t>C</t>
        </is>
      </c>
      <c r="K29" s="23" t="inlineStr">
        <is>
          <t>A</t>
        </is>
      </c>
      <c r="L29" s="23" t="inlineStr">
        <is>
          <t>D</t>
        </is>
      </c>
      <c r="M29" s="23" t="inlineStr">
        <is>
          <t>C</t>
        </is>
      </c>
      <c r="N29" s="23" t="inlineStr">
        <is>
          <t>B</t>
        </is>
      </c>
      <c r="O29" s="24" t="inlineStr">
        <is>
          <t>D</t>
        </is>
      </c>
      <c r="P29" s="23">
        <f>(D29=$D$10)+(E29=$E$10)+(F29=$F$10)+(G29=$G$10)+(H29=$H$10)+(I29=$I$10)+(J29=$J$10)+(K29=$K$10)+(L29=$L$10)+(M29=$M$10)+(N29=$N$10)+(O29=$O$10)</f>
        <v/>
      </c>
      <c r="Q29" s="24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204</v>
      </c>
      <c r="C30" s="22" t="inlineStr">
        <is>
          <t>Nehir KILIÇ</t>
        </is>
      </c>
      <c r="D30" s="23" t="inlineStr">
        <is>
          <t>C</t>
        </is>
      </c>
      <c r="E30" s="23" t="inlineStr">
        <is>
          <t>D</t>
        </is>
      </c>
      <c r="F30" s="23" t="inlineStr">
        <is>
          <t>A</t>
        </is>
      </c>
      <c r="G30" s="23" t="inlineStr">
        <is>
          <t>B</t>
        </is>
      </c>
      <c r="H30" s="23" t="inlineStr">
        <is>
          <t>D</t>
        </is>
      </c>
      <c r="I30" s="23" t="inlineStr">
        <is>
          <t>B</t>
        </is>
      </c>
      <c r="J30" s="23" t="inlineStr">
        <is>
          <t>C</t>
        </is>
      </c>
      <c r="K30" s="23" t="inlineStr">
        <is>
          <t>A</t>
        </is>
      </c>
      <c r="L30" s="23" t="inlineStr">
        <is>
          <t>D</t>
        </is>
      </c>
      <c r="M30" s="23" t="inlineStr">
        <is>
          <t>C</t>
        </is>
      </c>
      <c r="N30" s="23" t="inlineStr">
        <is>
          <t>B</t>
        </is>
      </c>
      <c r="O30" s="23" t="inlineStr">
        <is>
          <t>A</t>
        </is>
      </c>
      <c r="P30" s="23">
        <f>(D30=$D$10)+(E30=$E$10)+(F30=$F$10)+(G30=$G$10)+(H30=$H$10)+(I30=$I$10)+(J30=$J$10)+(K30=$K$10)+(L30=$L$10)+(M30=$M$10)+(N30=$N$10)+(O30=$O$10)</f>
        <v/>
      </c>
      <c r="Q30" s="24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210</v>
      </c>
      <c r="C31" s="30" t="inlineStr">
        <is>
          <t>Oğuzhan TEKİN</t>
        </is>
      </c>
      <c r="D31" s="23" t="inlineStr">
        <is>
          <t>C</t>
        </is>
      </c>
      <c r="E31" s="23" t="inlineStr">
        <is>
          <t>D</t>
        </is>
      </c>
      <c r="F31" s="23" t="inlineStr">
        <is>
          <t>A</t>
        </is>
      </c>
      <c r="G31" s="23" t="inlineStr">
        <is>
          <t>B</t>
        </is>
      </c>
      <c r="H31" s="23" t="inlineStr">
        <is>
          <t>D</t>
        </is>
      </c>
      <c r="I31" s="23" t="inlineStr">
        <is>
          <t>B</t>
        </is>
      </c>
      <c r="J31" s="23" t="inlineStr">
        <is>
          <t>C</t>
        </is>
      </c>
      <c r="K31" s="23" t="inlineStr">
        <is>
          <t>A</t>
        </is>
      </c>
      <c r="L31" s="23" t="inlineStr">
        <is>
          <t>D</t>
        </is>
      </c>
      <c r="M31" s="23" t="inlineStr">
        <is>
          <t>C</t>
        </is>
      </c>
      <c r="N31" s="24" t="inlineStr">
        <is>
          <t>A</t>
        </is>
      </c>
      <c r="O31" s="23" t="inlineStr">
        <is>
          <t>A</t>
        </is>
      </c>
      <c r="P31" s="23">
        <f>(D31=$D$10)+(E31=$E$10)+(F31=$F$10)+(G31=$G$10)+(H31=$H$10)+(I31=$I$10)+(J31=$J$10)+(K31=$K$10)+(L31=$L$10)+(M31=$M$10)+(N31=$N$10)+(O31=$O$10)</f>
        <v/>
      </c>
      <c r="Q31" s="24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215</v>
      </c>
      <c r="C32" s="22" t="inlineStr">
        <is>
          <t>Öykü KORKMAZ</t>
        </is>
      </c>
      <c r="D32" s="23" t="inlineStr">
        <is>
          <t>C</t>
        </is>
      </c>
      <c r="E32" s="23" t="inlineStr">
        <is>
          <t>D</t>
        </is>
      </c>
      <c r="F32" s="23" t="inlineStr">
        <is>
          <t>A</t>
        </is>
      </c>
      <c r="G32" s="23" t="inlineStr">
        <is>
          <t>B</t>
        </is>
      </c>
      <c r="H32" s="23" t="inlineStr">
        <is>
          <t>D</t>
        </is>
      </c>
      <c r="I32" s="23" t="inlineStr">
        <is>
          <t>B</t>
        </is>
      </c>
      <c r="J32" s="23" t="inlineStr">
        <is>
          <t>C</t>
        </is>
      </c>
      <c r="K32" s="23" t="inlineStr">
        <is>
          <t>A</t>
        </is>
      </c>
      <c r="L32" s="23" t="inlineStr">
        <is>
          <t>D</t>
        </is>
      </c>
      <c r="M32" s="23" t="inlineStr">
        <is>
          <t>C</t>
        </is>
      </c>
      <c r="N32" s="23" t="inlineStr">
        <is>
          <t>B</t>
        </is>
      </c>
      <c r="O32" s="23" t="inlineStr">
        <is>
          <t>A</t>
        </is>
      </c>
      <c r="P32" s="23">
        <f>(D32=$D$10)+(E32=$E$10)+(F32=$F$10)+(G32=$G$10)+(H32=$H$10)+(I32=$I$10)+(J32=$J$10)+(K32=$K$10)+(L32=$L$10)+(M32=$M$10)+(N32=$N$10)+(O32=$O$10)</f>
        <v/>
      </c>
      <c r="Q32" s="24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221</v>
      </c>
      <c r="C33" s="30" t="inlineStr">
        <is>
          <t>Rüzgar ACAR</t>
        </is>
      </c>
      <c r="D33" s="23" t="inlineStr">
        <is>
          <t>C</t>
        </is>
      </c>
      <c r="E33" s="23" t="inlineStr">
        <is>
          <t>D</t>
        </is>
      </c>
      <c r="F33" s="23" t="inlineStr">
        <is>
          <t>A</t>
        </is>
      </c>
      <c r="G33" s="23" t="inlineStr">
        <is>
          <t>B</t>
        </is>
      </c>
      <c r="H33" s="24" t="inlineStr">
        <is>
          <t>B</t>
        </is>
      </c>
      <c r="I33" s="23" t="inlineStr">
        <is>
          <t>B</t>
        </is>
      </c>
      <c r="J33" s="23" t="inlineStr">
        <is>
          <t>C</t>
        </is>
      </c>
      <c r="K33" s="23" t="inlineStr">
        <is>
          <t>A</t>
        </is>
      </c>
      <c r="L33" s="23" t="inlineStr">
        <is>
          <t>D</t>
        </is>
      </c>
      <c r="M33" s="23" t="inlineStr">
        <is>
          <t>C</t>
        </is>
      </c>
      <c r="N33" s="23" t="inlineStr">
        <is>
          <t>B</t>
        </is>
      </c>
      <c r="O33" s="23" t="inlineStr">
        <is>
          <t>A</t>
        </is>
      </c>
      <c r="P33" s="23">
        <f>(D33=$D$10)+(E33=$E$10)+(F33=$F$10)+(G33=$G$10)+(H33=$H$10)+(I33=$I$10)+(J33=$J$10)+(K33=$K$10)+(L33=$L$10)+(M33=$M$10)+(N33=$N$10)+(O33=$O$10)</f>
        <v/>
      </c>
      <c r="Q33" s="24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227</v>
      </c>
      <c r="C34" s="22" t="inlineStr">
        <is>
          <t>Selin ŞEN</t>
        </is>
      </c>
      <c r="D34" s="23" t="inlineStr">
        <is>
          <t>C</t>
        </is>
      </c>
      <c r="E34" s="23" t="inlineStr">
        <is>
          <t>D</t>
        </is>
      </c>
      <c r="F34" s="23" t="inlineStr">
        <is>
          <t>A</t>
        </is>
      </c>
      <c r="G34" s="23" t="inlineStr">
        <is>
          <t>B</t>
        </is>
      </c>
      <c r="H34" s="23" t="inlineStr">
        <is>
          <t>D</t>
        </is>
      </c>
      <c r="I34" s="23" t="inlineStr">
        <is>
          <t>B</t>
        </is>
      </c>
      <c r="J34" s="23" t="inlineStr">
        <is>
          <t>C</t>
        </is>
      </c>
      <c r="K34" s="23" t="inlineStr">
        <is>
          <t>A</t>
        </is>
      </c>
      <c r="L34" s="23" t="inlineStr">
        <is>
          <t>D</t>
        </is>
      </c>
      <c r="M34" s="23" t="inlineStr">
        <is>
          <t>C</t>
        </is>
      </c>
      <c r="N34" s="23" t="inlineStr">
        <is>
          <t>B</t>
        </is>
      </c>
      <c r="O34" s="23" t="inlineStr">
        <is>
          <t>A</t>
        </is>
      </c>
      <c r="P34" s="23">
        <f>(D34=$D$10)+(E34=$E$10)+(F34=$F$10)+(G34=$G$10)+(H34=$H$10)+(I34=$I$10)+(J34=$J$10)+(K34=$K$10)+(L34=$L$10)+(M34=$M$10)+(N34=$N$10)+(O34=$O$10)</f>
        <v/>
      </c>
      <c r="Q34" s="24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233</v>
      </c>
      <c r="C35" s="30" t="inlineStr">
        <is>
          <t>Sinan YAVUZ</t>
        </is>
      </c>
      <c r="D35" s="24" t="inlineStr">
        <is>
          <t>A</t>
        </is>
      </c>
      <c r="E35" s="23" t="inlineStr">
        <is>
          <t>D</t>
        </is>
      </c>
      <c r="F35" s="24" t="inlineStr">
        <is>
          <t>B</t>
        </is>
      </c>
      <c r="G35" s="23" t="inlineStr">
        <is>
          <t>B</t>
        </is>
      </c>
      <c r="H35" s="23" t="inlineStr">
        <is>
          <t>D</t>
        </is>
      </c>
      <c r="I35" s="23" t="inlineStr">
        <is>
          <t>B</t>
        </is>
      </c>
      <c r="J35" s="23" t="inlineStr">
        <is>
          <t>C</t>
        </is>
      </c>
      <c r="K35" s="23" t="inlineStr">
        <is>
          <t>A</t>
        </is>
      </c>
      <c r="L35" s="24" t="inlineStr">
        <is>
          <t>B</t>
        </is>
      </c>
      <c r="M35" s="23" t="inlineStr">
        <is>
          <t>C</t>
        </is>
      </c>
      <c r="N35" s="23" t="inlineStr">
        <is>
          <t>B</t>
        </is>
      </c>
      <c r="O35" s="24" t="inlineStr">
        <is>
          <t>D</t>
        </is>
      </c>
      <c r="P35" s="23">
        <f>(D35=$D$10)+(E35=$E$10)+(F35=$F$10)+(G35=$G$10)+(H35=$H$10)+(I35=$I$10)+(J35=$J$10)+(K35=$K$10)+(L35=$L$10)+(M35=$M$10)+(N35=$N$10)+(O35=$O$10)</f>
        <v/>
      </c>
      <c r="Q35" s="24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239</v>
      </c>
      <c r="C36" s="22" t="inlineStr">
        <is>
          <t>Tuana AKSOY</t>
        </is>
      </c>
      <c r="D36" s="23" t="inlineStr">
        <is>
          <t>C</t>
        </is>
      </c>
      <c r="E36" s="23" t="inlineStr">
        <is>
          <t>D</t>
        </is>
      </c>
      <c r="F36" s="23" t="inlineStr">
        <is>
          <t>A</t>
        </is>
      </c>
      <c r="G36" s="23" t="inlineStr">
        <is>
          <t>B</t>
        </is>
      </c>
      <c r="H36" s="23" t="inlineStr">
        <is>
          <t>D</t>
        </is>
      </c>
      <c r="I36" s="23" t="inlineStr">
        <is>
          <t>B</t>
        </is>
      </c>
      <c r="J36" s="23" t="inlineStr">
        <is>
          <t>C</t>
        </is>
      </c>
      <c r="K36" s="23" t="inlineStr">
        <is>
          <t>A</t>
        </is>
      </c>
      <c r="L36" s="23" t="inlineStr">
        <is>
          <t>D</t>
        </is>
      </c>
      <c r="M36" s="23" t="inlineStr">
        <is>
          <t>C</t>
        </is>
      </c>
      <c r="N36" s="23" t="inlineStr">
        <is>
          <t>B</t>
        </is>
      </c>
      <c r="O36" s="23" t="inlineStr">
        <is>
          <t>A</t>
        </is>
      </c>
      <c r="P36" s="23">
        <f>(D36=$D$10)+(E36=$E$10)+(F36=$F$10)+(G36=$G$10)+(H36=$H$10)+(I36=$I$10)+(J36=$J$10)+(K36=$K$10)+(L36=$L$10)+(M36=$M$10)+(N36=$N$10)+(O36=$O$10)</f>
        <v/>
      </c>
      <c r="Q36" s="24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245</v>
      </c>
      <c r="C37" s="30" t="inlineStr">
        <is>
          <t>Umut GÜNEŞ</t>
        </is>
      </c>
      <c r="D37" s="23" t="inlineStr">
        <is>
          <t>C</t>
        </is>
      </c>
      <c r="E37" s="23" t="inlineStr">
        <is>
          <t>D</t>
        </is>
      </c>
      <c r="F37" s="23" t="inlineStr">
        <is>
          <t>A</t>
        </is>
      </c>
      <c r="G37" s="23" t="inlineStr">
        <is>
          <t>B</t>
        </is>
      </c>
      <c r="H37" s="23" t="inlineStr">
        <is>
          <t>D</t>
        </is>
      </c>
      <c r="I37" s="23" t="inlineStr">
        <is>
          <t>B</t>
        </is>
      </c>
      <c r="J37" s="24" t="inlineStr">
        <is>
          <t>B</t>
        </is>
      </c>
      <c r="K37" s="23" t="inlineStr">
        <is>
          <t>A</t>
        </is>
      </c>
      <c r="L37" s="23" t="inlineStr">
        <is>
          <t>D</t>
        </is>
      </c>
      <c r="M37" s="24" t="inlineStr">
        <is>
          <t>A</t>
        </is>
      </c>
      <c r="N37" s="23" t="inlineStr">
        <is>
          <t>B</t>
        </is>
      </c>
      <c r="O37" s="23" t="inlineStr">
        <is>
          <t>A</t>
        </is>
      </c>
      <c r="P37" s="23">
        <f>(D37=$D$10)+(E37=$E$10)+(F37=$F$10)+(G37=$G$10)+(H37=$H$10)+(I37=$I$10)+(J37=$J$10)+(K37=$K$10)+(L37=$L$10)+(M37=$M$10)+(N37=$N$10)+(O37=$O$10)</f>
        <v/>
      </c>
      <c r="Q37" s="24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251</v>
      </c>
      <c r="C38" s="22" t="inlineStr">
        <is>
          <t>Yağmur KARA</t>
        </is>
      </c>
      <c r="D38" s="23" t="inlineStr">
        <is>
          <t>C</t>
        </is>
      </c>
      <c r="E38" s="23" t="inlineStr">
        <is>
          <t>D</t>
        </is>
      </c>
      <c r="F38" s="23" t="inlineStr">
        <is>
          <t>A</t>
        </is>
      </c>
      <c r="G38" s="23" t="inlineStr">
        <is>
          <t>B</t>
        </is>
      </c>
      <c r="H38" s="23" t="inlineStr">
        <is>
          <t>D</t>
        </is>
      </c>
      <c r="I38" s="23" t="inlineStr">
        <is>
          <t>B</t>
        </is>
      </c>
      <c r="J38" s="23" t="inlineStr">
        <is>
          <t>C</t>
        </is>
      </c>
      <c r="K38" s="23" t="inlineStr">
        <is>
          <t>A</t>
        </is>
      </c>
      <c r="L38" s="23" t="inlineStr">
        <is>
          <t>D</t>
        </is>
      </c>
      <c r="M38" s="23" t="inlineStr">
        <is>
          <t>C</t>
        </is>
      </c>
      <c r="N38" s="23" t="inlineStr">
        <is>
          <t>B</t>
        </is>
      </c>
      <c r="O38" s="23" t="inlineStr">
        <is>
          <t>A</t>
        </is>
      </c>
      <c r="P38" s="23">
        <f>(D38=$D$10)+(E38=$E$10)+(F38=$F$10)+(G38=$G$10)+(H38=$H$10)+(I38=$I$10)+(J38=$J$10)+(K38=$K$10)+(L38=$L$10)+(M38=$M$10)+(N38=$N$10)+(O38=$O$10)</f>
        <v/>
      </c>
      <c r="Q38" s="24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257</v>
      </c>
      <c r="C39" s="30" t="inlineStr">
        <is>
          <t>Yiğit BULUT</t>
        </is>
      </c>
      <c r="D39" s="23" t="inlineStr">
        <is>
          <t>C</t>
        </is>
      </c>
      <c r="E39" s="23" t="inlineStr">
        <is>
          <t>D</t>
        </is>
      </c>
      <c r="F39" s="23" t="inlineStr">
        <is>
          <t>A</t>
        </is>
      </c>
      <c r="G39" s="23" t="inlineStr">
        <is>
          <t>B</t>
        </is>
      </c>
      <c r="H39" s="23" t="inlineStr">
        <is>
          <t>D</t>
        </is>
      </c>
      <c r="I39" s="24" t="inlineStr">
        <is>
          <t>A</t>
        </is>
      </c>
      <c r="J39" s="23" t="inlineStr">
        <is>
          <t>C</t>
        </is>
      </c>
      <c r="K39" s="23" t="inlineStr">
        <is>
          <t>A</t>
        </is>
      </c>
      <c r="L39" s="23" t="inlineStr">
        <is>
          <t>D</t>
        </is>
      </c>
      <c r="M39" s="23" t="inlineStr">
        <is>
          <t>C</t>
        </is>
      </c>
      <c r="N39" s="23" t="inlineStr">
        <is>
          <t>B</t>
        </is>
      </c>
      <c r="O39" s="23" t="inlineStr">
        <is>
          <t>A</t>
        </is>
      </c>
      <c r="P39" s="23">
        <f>(D39=$D$10)+(E39=$E$10)+(F39=$F$10)+(G39=$G$10)+(H39=$H$10)+(I39=$I$10)+(J39=$J$10)+(K39=$K$10)+(L39=$L$10)+(M39=$M$10)+(N39=$N$10)+(O39=$O$10)</f>
        <v/>
      </c>
      <c r="Q39" s="24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0" ht="20" customHeight="1">
      <c r="A40" s="20" t="n">
        <v>29</v>
      </c>
      <c r="B40" s="21" t="n">
        <v>263</v>
      </c>
      <c r="C40" s="22" t="inlineStr">
        <is>
          <t>Zeynep ÇAKIR</t>
        </is>
      </c>
      <c r="D40" s="23" t="inlineStr">
        <is>
          <t>C</t>
        </is>
      </c>
      <c r="E40" s="23" t="inlineStr">
        <is>
          <t>D</t>
        </is>
      </c>
      <c r="F40" s="23" t="inlineStr">
        <is>
          <t>A</t>
        </is>
      </c>
      <c r="G40" s="23" t="inlineStr">
        <is>
          <t>B</t>
        </is>
      </c>
      <c r="H40" s="23" t="inlineStr">
        <is>
          <t>D</t>
        </is>
      </c>
      <c r="I40" s="23" t="inlineStr">
        <is>
          <t>B</t>
        </is>
      </c>
      <c r="J40" s="23" t="inlineStr">
        <is>
          <t>C</t>
        </is>
      </c>
      <c r="K40" s="23" t="inlineStr">
        <is>
          <t>A</t>
        </is>
      </c>
      <c r="L40" s="23" t="inlineStr">
        <is>
          <t>D</t>
        </is>
      </c>
      <c r="M40" s="23" t="inlineStr">
        <is>
          <t>C</t>
        </is>
      </c>
      <c r="N40" s="23" t="inlineStr">
        <is>
          <t>B</t>
        </is>
      </c>
      <c r="O40" s="23" t="inlineStr">
        <is>
          <t>A</t>
        </is>
      </c>
      <c r="P40" s="23">
        <f>(D40=$D$10)+(E40=$E$10)+(F40=$F$10)+(G40=$G$10)+(H40=$H$10)+(I40=$I$10)+(J40=$J$10)+(K40=$K$10)+(L40=$L$10)+(M40=$M$10)+(N40=$N$10)+(O40=$O$10)</f>
        <v/>
      </c>
      <c r="Q40" s="24">
        <f>12-P40-R40</f>
        <v/>
      </c>
      <c r="R40" s="25">
        <f>COUNTBLANK(D40:O40)</f>
        <v/>
      </c>
      <c r="S40" s="26">
        <f>ROUND(P40*(100/12), 1)</f>
        <v/>
      </c>
      <c r="T40" s="27">
        <f>IF(S40&gt;=85, "Pekiyi (5)", IF(S40&gt;=70, "İyi (4)", IF(S40&gt;=55, "Orta (3)", IF(S40&gt;=45, "Geçer (2)", "Geliştirilmeli (1)"))))</f>
        <v/>
      </c>
    </row>
    <row r="41" ht="20" customHeight="1">
      <c r="A41" s="28" t="n">
        <v>30</v>
      </c>
      <c r="B41" s="29" t="n">
        <v>270</v>
      </c>
      <c r="C41" s="30" t="inlineStr">
        <is>
          <t>Ziya ERDOĞAN</t>
        </is>
      </c>
      <c r="D41" s="23" t="inlineStr">
        <is>
          <t>C</t>
        </is>
      </c>
      <c r="E41" s="24" t="inlineStr">
        <is>
          <t>A</t>
        </is>
      </c>
      <c r="F41" s="23" t="inlineStr">
        <is>
          <t>A</t>
        </is>
      </c>
      <c r="G41" s="23" t="inlineStr">
        <is>
          <t>B</t>
        </is>
      </c>
      <c r="H41" s="23" t="inlineStr">
        <is>
          <t>D</t>
        </is>
      </c>
      <c r="I41" s="23" t="inlineStr">
        <is>
          <t>B</t>
        </is>
      </c>
      <c r="J41" s="23" t="inlineStr">
        <is>
          <t>C</t>
        </is>
      </c>
      <c r="K41" s="24" t="inlineStr">
        <is>
          <t>B</t>
        </is>
      </c>
      <c r="L41" s="23" t="inlineStr">
        <is>
          <t>D</t>
        </is>
      </c>
      <c r="M41" s="23" t="inlineStr">
        <is>
          <t>C</t>
        </is>
      </c>
      <c r="N41" s="23" t="inlineStr">
        <is>
          <t>B</t>
        </is>
      </c>
      <c r="O41" s="24" t="inlineStr">
        <is>
          <t>D</t>
        </is>
      </c>
      <c r="P41" s="23">
        <f>(D41=$D$10)+(E41=$E$10)+(F41=$F$10)+(G41=$G$10)+(H41=$H$10)+(I41=$I$10)+(J41=$J$10)+(K41=$K$10)+(L41=$L$10)+(M41=$M$10)+(N41=$N$10)+(O41=$O$10)</f>
        <v/>
      </c>
      <c r="Q41" s="24">
        <f>12-P41-R41</f>
        <v/>
      </c>
      <c r="R41" s="31">
        <f>COUNTBLANK(D41:O41)</f>
        <v/>
      </c>
      <c r="S41" s="32">
        <f>ROUND(P41*(100/12), 1)</f>
        <v/>
      </c>
      <c r="T41" s="33">
        <f>IF(S41&gt;=85, "Pekiyi (5)", IF(S41&gt;=70, "İyi (4)", IF(S41&gt;=55, "Orta (3)", IF(S41&gt;=45,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Uğur YAŞAYAN</t>
        </is>
      </c>
      <c r="R47" s="43" t="inlineStr">
        <is>
          <t>Mustafa ÖZKAN</t>
        </is>
      </c>
    </row>
    <row r="48">
      <c r="C48" s="44" t="inlineStr">
        <is>
          <t>Matematik Öğretmeni</t>
        </is>
      </c>
      <c r="R48" s="44" t="inlineStr">
        <is>
          <t>Alparslan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Alparslan Ortaokulu • 5/A Şubesi • Zümre Öğretmeni: Uğur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Bölükler ve Okuma</t>
        </is>
      </c>
      <c r="C5" s="49" t="inlineStr">
        <is>
          <t>MAT.5.1.1.1: En çok dokuz basamaklı doğal sayıların bölüklerini ve basamaklarını belirler.</t>
        </is>
      </c>
      <c r="D5" s="50" t="inlineStr">
        <is>
          <t>C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5">
        <f>COUNTIF('Optik Giriş ve Notlar'!D$12:D$41, "A")</f>
        <v/>
      </c>
      <c r="I5" s="25">
        <f>COUNTIF('Optik Giriş ve Notlar'!D$12:D$41, "B")</f>
        <v/>
      </c>
      <c r="J5" s="23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Milyonlar ve birler bölüğünü toplarken binler bölüğünü dahil etme veya basamak kaydırma hatası (Çeldirici A).</t>
        </is>
      </c>
    </row>
    <row r="6" ht="36" customHeight="1">
      <c r="A6" s="54" t="n">
        <v>2</v>
      </c>
      <c r="B6" s="55" t="inlineStr">
        <is>
          <t>Okunuştan Sayı Yazma</t>
        </is>
      </c>
      <c r="C6" s="56" t="inlineStr">
        <is>
          <t>MAT.5.1.1.2: Okunuşu verilen çok basamaklı doğal sayıları rakamla yazar.</t>
        </is>
      </c>
      <c r="D6" s="50" t="inlineStr">
        <is>
          <t>D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31">
        <f>COUNTIF('Optik Giriş ve Notlar'!E$12:E$41, "B")</f>
        <v/>
      </c>
      <c r="J6" s="31">
        <f>COUNTIF('Optik Giriş ve Notlar'!E$12:E$41, "C")</f>
        <v/>
      </c>
      <c r="K6" s="23">
        <f>COUNTIF('Optik Giriş ve Notlar'!E$12:E$41, "D")</f>
        <v/>
      </c>
      <c r="L6" s="58" t="inlineStr">
        <is>
          <t>A</t>
        </is>
      </c>
      <c r="M6" s="59" t="inlineStr">
        <is>
          <t>«Kırk bin» ifadesini 3 basamaklı bölük kuralına uyduramayıp 400 yazma ya da sıfırları eksik yazma yanılgısı (Çeldirici A).</t>
        </is>
      </c>
    </row>
    <row r="7" ht="36" customHeight="1">
      <c r="A7" s="47" t="n">
        <v>3</v>
      </c>
      <c r="B7" s="48" t="inlineStr">
        <is>
          <t>Basamak Değeri</t>
        </is>
      </c>
      <c r="C7" s="49" t="inlineStr">
        <is>
          <t>MAT.5.1.1.3: Doğal sayıların basamak değerlerini belirler ve çözümler.</t>
        </is>
      </c>
      <c r="D7" s="50" t="inlineStr">
        <is>
          <t>A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3">
        <f>COUNTIF('Optik Giriş ve Notlar'!F$12:F$41, "A")</f>
        <v/>
      </c>
      <c r="I7" s="25">
        <f>COUNTIF('Optik Giriş ve Notlar'!F$12:F$41, "B")</f>
        <v/>
      </c>
      <c r="J7" s="25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2 rakamının on binler basamağındaki değerini milyonlar basamağı ile karıştırma (Çeldirici B).</t>
        </is>
      </c>
    </row>
    <row r="8" ht="36" customHeight="1">
      <c r="A8" s="54" t="n">
        <v>4</v>
      </c>
      <c r="B8" s="55" t="inlineStr">
        <is>
          <t>Sayı Oluşturma &amp; Bölükler</t>
        </is>
      </c>
      <c r="C8" s="56" t="inlineStr">
        <is>
          <t>MAT.5.1.1.4: Verilen rakamlarla kurala uygun en büyük/küçük çok basamaklı sayıları modeller.</t>
        </is>
      </c>
      <c r="D8" s="50" t="inlineStr">
        <is>
          <t>B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31">
        <f>COUNTIF('Optik Giriş ve Notlar'!G$12:G$41, "A")</f>
        <v/>
      </c>
      <c r="I8" s="23">
        <f>COUNTIF('Optik Giriş ve Notlar'!G$12:G$41, "B")</f>
        <v/>
      </c>
      <c r="J8" s="31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Çift sayı şartını gözden kaçırarak birler basamağına tek sayı yerleştirme veya binler bölüğünü yanlış okuma (Çeldirici A).</t>
        </is>
      </c>
    </row>
    <row r="9" ht="36" customHeight="1">
      <c r="A9" s="47" t="n">
        <v>5</v>
      </c>
      <c r="B9" s="48" t="inlineStr">
        <is>
          <t>Hârizmî &amp; Sıfırın Rolü</t>
        </is>
      </c>
      <c r="C9" s="49" t="inlineStr">
        <is>
          <t>MAT.5.1.1.5: Onluk sistemde basamak değerinde '0'ın yer tutucu rolünü ve matematik tarihini kavrar.</t>
        </is>
      </c>
      <c r="D9" s="50" t="inlineStr">
        <is>
          <t>D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5">
        <f>COUNTIF('Optik Giriş ve Notlar'!H$12:H$41, "B")</f>
        <v/>
      </c>
      <c r="J9" s="25">
        <f>COUNTIF('Optik Giriş ve Notlar'!H$12:H$41, "C")</f>
        <v/>
      </c>
      <c r="K9" s="23">
        <f>COUNTIF('Optik Giriş ve Notlar'!H$12:H$41, "D")</f>
        <v/>
      </c>
      <c r="L9" s="52" t="inlineStr">
        <is>
          <t>-</t>
        </is>
      </c>
      <c r="M9" s="53" t="inlineStr">
        <is>
          <t>Sıfırın basamak değerini bulunduğu basamağın değeri (100.000) ile karıştırma yanılgısı (Çeldirici B).</t>
        </is>
      </c>
    </row>
    <row r="10" ht="36" customHeight="1">
      <c r="A10" s="54" t="n">
        <v>6</v>
      </c>
      <c r="B10" s="55" t="inlineStr">
        <is>
          <t>Büyüklük Karşılaştırma</t>
        </is>
      </c>
      <c r="C10" s="56" t="inlineStr">
        <is>
          <t>MAT.5.1.1.6: Çok basamaklı doğal sayıları karşılaştırır ve sıralar.</t>
        </is>
      </c>
      <c r="D10" s="50" t="inlineStr">
        <is>
          <t>B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23">
        <f>COUNTIF('Optik Giriş ve Notlar'!I$12:I$41, "B")</f>
        <v/>
      </c>
      <c r="J10" s="31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Soruda istenen 'en yüksek ikinci' ifadesini gözden kaçırıp 'en yüksek' olanı seçme dikkatsizliği (Çeldirici A).</t>
        </is>
      </c>
    </row>
    <row r="11" ht="36" customHeight="1">
      <c r="A11" s="47" t="n">
        <v>7</v>
      </c>
      <c r="B11" s="48" t="inlineStr">
        <is>
          <t>TÜİK Nüfus Tablosu Analizi</t>
        </is>
      </c>
      <c r="C11" s="49" t="inlineStr">
        <is>
          <t>MAT.5.1.2.1: Gerçek yaşam verileri içeren tablolardan sayısal çıkarım yapar.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3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Kocaeli nüfusunda 0'ın bulunduğu basamakları (onlar ve on binler) yüz binler basamağı ile karıştırma (Çeldirici B).</t>
        </is>
      </c>
    </row>
    <row r="12" ht="36" customHeight="1">
      <c r="A12" s="54" t="n">
        <v>8</v>
      </c>
      <c r="B12" s="55" t="inlineStr">
        <is>
          <t>Uzay Bilimi &amp; Sayı Değerleri</t>
        </is>
      </c>
      <c r="C12" s="56" t="inlineStr">
        <is>
          <t>MAT.5.1.2.2: Büyük sayıların bölüklerindeki rakamların sayı değerleri toplamını hesaplar.</t>
        </is>
      </c>
      <c r="D12" s="50" t="inlineStr">
        <is>
          <t>A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23">
        <f>COUNTIF('Optik Giriş ve Notlar'!K$12:K$41, "A")</f>
        <v/>
      </c>
      <c r="I12" s="31">
        <f>COUNTIF('Optik Giriş ve Notlar'!K$12:K$41, "B")</f>
        <v/>
      </c>
      <c r="J12" s="31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Rakamları toplarken (1+4+9=14 ve 3+8+4=15) işlem hatası yapma (Çeldirici B).</t>
        </is>
      </c>
    </row>
    <row r="13" ht="36" customHeight="1">
      <c r="A13" s="47" t="n">
        <v>9</v>
      </c>
      <c r="B13" s="48" t="inlineStr">
        <is>
          <t>Mekanik Sayaç Modelleme</t>
        </is>
      </c>
      <c r="C13" s="49" t="inlineStr">
        <is>
          <t>MAT.5.1.2.3: Mekanik ve dijital modeller üzerinden basamak değerleri ilişkilerini geneller.</t>
        </is>
      </c>
      <c r="D13" s="50" t="inlineStr">
        <is>
          <t>D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5">
        <f>COUNTIF('Optik Giriş ve Notlar'!L$12:L$41, "A")</f>
        <v/>
      </c>
      <c r="I13" s="25">
        <f>COUNTIF('Optik Giriş ve Notlar'!L$12:L$41, "B")</f>
        <v/>
      </c>
      <c r="J13" s="25">
        <f>COUNTIF('Optik Giriş ve Notlar'!L$12:L$41, "C")</f>
        <v/>
      </c>
      <c r="K13" s="23">
        <f>COUNTIF('Optik Giriş ve Notlar'!L$12:L$41, "D")</f>
        <v/>
      </c>
      <c r="L13" s="52" t="inlineStr">
        <is>
          <t>B</t>
        </is>
      </c>
      <c r="M13" s="53" t="inlineStr">
        <is>
          <t>Binler bölüğündeki en küçük basamak değerli rakamı en küçük sayı değeriyle karıştırıp 5 seçme hatası (Çeldirici B).</t>
        </is>
      </c>
    </row>
    <row r="14" ht="36" customHeight="1">
      <c r="A14" s="54" t="n">
        <v>10</v>
      </c>
      <c r="B14" s="55" t="inlineStr">
        <is>
          <t>Sosyal Sorumluluk &amp; Çözümleme</t>
        </is>
      </c>
      <c r="C14" s="56" t="inlineStr">
        <is>
          <t>MAT.5.1.2.4: Çözümlenmiş olarak verilen çok basamaklı sayıları birleştirip okur.</t>
        </is>
      </c>
      <c r="D14" s="50" t="inlineStr">
        <is>
          <t>C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31">
        <f>COUNTIF('Optik Giriş ve Notlar'!M$12:M$41, "A")</f>
        <v/>
      </c>
      <c r="I14" s="31">
        <f>COUNTIF('Optik Giriş ve Notlar'!M$12:M$41, "B")</f>
        <v/>
      </c>
      <c r="J14" s="23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(6×10.000) ifadesini altı yüz bin olarak yorumlayıp sıfır yer tutucuları atlama yanılgısı (Çeldirici A).</t>
        </is>
      </c>
    </row>
    <row r="15" ht="36" customHeight="1">
      <c r="A15" s="47" t="n">
        <v>11</v>
      </c>
      <c r="B15" s="48" t="inlineStr">
        <is>
          <t>Şifreli Kasa &amp; Mantıksal Örüntü</t>
        </is>
      </c>
      <c r="C15" s="49" t="inlineStr">
        <is>
          <t>MAT.5.1.2.5: Bölükler arası oransal ve mantıksal ilişkileri kurarak şifre modeller.</t>
        </is>
      </c>
      <c r="D15" s="50" t="inlineStr">
        <is>
          <t>B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3">
        <f>COUNTIF('Optik Giriş ve Notlar'!N$12:N$41, "B")</f>
        <v/>
      </c>
      <c r="J15" s="25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Rakamlar toplamının 5 katı hesabında (8×5=40) işlem hatası yapıp 25 bulma yanılgısı (Çeldirici A).</t>
        </is>
      </c>
    </row>
    <row r="16" ht="36" customHeight="1">
      <c r="A16" s="54" t="n">
        <v>12</v>
      </c>
      <c r="B16" s="55" t="inlineStr">
        <is>
          <t>Maarif Modeli Genelleme</t>
        </is>
      </c>
      <c r="C16" s="56" t="inlineStr">
        <is>
          <t>MAT.5.1.2.6: Çok basamaklı sayıların okunma kurallarına ilişkin genellemeleri analiz eder.</t>
        </is>
      </c>
      <c r="D16" s="50" t="inlineStr">
        <is>
          <t>A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23">
        <f>COUNTIF('Optik Giriş ve Notlar'!O$12:O$41, "A")</f>
        <v/>
      </c>
      <c r="I16" s="31">
        <f>COUNTIF('Optik Giriş ve Notlar'!O$12:O$41, "B")</f>
        <v/>
      </c>
      <c r="J16" s="31">
        <f>COUNTIF('Optik Giriş ve Notlar'!O$12:O$41, "C")</f>
        <v/>
      </c>
      <c r="K16" s="31">
        <f>COUNTIF('Optik Giriş ve Notlar'!O$12:O$41, "D")</f>
        <v/>
      </c>
      <c r="L16" s="58" t="inlineStr">
        <is>
          <t>D</t>
        </is>
      </c>
      <c r="M16" s="59" t="inlineStr">
        <is>
          <t>Binler bölüğü 000 olduğunda 'bin' denmeyeceği istisnasını unutup III. önermeyi doğru kabul etme yanılgısı (Çeldirici D).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ALPARSLAN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(5.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Uğur YAŞAYAN</t>
        </is>
      </c>
      <c r="E5" s="61" t="inlineStr">
        <is>
          <t>Zümre Eş Öğretmeni:</t>
        </is>
      </c>
      <c r="F5" s="62" t="inlineStr">
        <is>
          <t>Demet GÜRHAN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Mustafa ÖZKAN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Uğur YAŞAYAN</t>
        </is>
      </c>
      <c r="D31" s="43" t="inlineStr">
        <is>
          <t>Demet GÜRHAN YAŞAYAN</t>
        </is>
      </c>
      <c r="G31" s="43" t="inlineStr">
        <is>
          <t>Mustafa ÖZKAN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Alparslan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2026-09-13T00:23:29Z</dcterms:created>
  <dcterms:modified xmlns:dcterms="http://purl.org/dc/terms/" xmlns:xsi="http://www.w3.org/2001/XMLSchema-instance" xsi:type="dcterms:W3CDTF">2026-09-13T00:23:29Z</dcterms:modified>
</cp:coreProperties>
</file>